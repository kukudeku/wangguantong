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940" windowHeight="15360" activeTab="5"/>
  </bookViews>
  <sheets>
    <sheet name="设计总览" sheetId="1" r:id="rId1"/>
    <sheet name="表目录" sheetId="2" r:id="rId2"/>
    <sheet name="数据字典" sheetId="3" r:id="rId3"/>
    <sheet name="表关系" sheetId="4" r:id="rId4"/>
    <sheet name="状态字典" sheetId="5" r:id="rId5"/>
    <sheet name="设计规则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<sst xmlns="http://schemas.openxmlformats.org/spreadsheetml/2006/main" count="1054" uniqueCount="426">
  <si>
    <t>网管通 · 数据库设计书</t>
  </si>
  <si>
    <t>V1.0  |  MySQL 8  |  Spring Boot 3 + MyBatis-Plus  |  2026-07-13</t>
  </si>
  <si>
    <t>核心规模</t>
  </si>
  <si>
    <t>设计基线</t>
  </si>
  <si>
    <t>当前边界</t>
  </si>
  <si>
    <t>数据表数量</t>
  </si>
  <si>
    <t>字符集</t>
  </si>
  <si>
    <t>utf8mb4</t>
  </si>
  <si>
    <t>物理外键</t>
  </si>
  <si>
    <t>未声明，使用逻辑关联</t>
  </si>
  <si>
    <t>字段总数</t>
  </si>
  <si>
    <t>主键</t>
  </si>
  <si>
    <t>BIGINT 自增</t>
  </si>
  <si>
    <t>密码</t>
  </si>
  <si>
    <t>课堂版明文</t>
  </si>
  <si>
    <t>逻辑关系</t>
  </si>
  <si>
    <t>金额</t>
  </si>
  <si>
    <t>DECIMAL(10,2)</t>
  </si>
  <si>
    <t>支付</t>
  </si>
  <si>
    <t>模拟充值</t>
  </si>
  <si>
    <t>状态值数量</t>
  </si>
  <si>
    <t>时间</t>
  </si>
  <si>
    <t>DATETIME / Asia/Shanghai</t>
  </si>
  <si>
    <t>并发</t>
  </si>
  <si>
    <t>生产版需增加锁/约束</t>
  </si>
  <si>
    <t>实体关系摘要</t>
  </si>
  <si>
    <t>核心主表</t>
  </si>
  <si>
    <t>member</t>
  </si>
  <si>
    <t>用户身份、会员等级、余额</t>
  </si>
  <si>
    <t>→</t>
  </si>
  <si>
    <t>recharge_record</t>
  </si>
  <si>
    <t>充值明细</t>
  </si>
  <si>
    <t>1:N</t>
  </si>
  <si>
    <t>逻辑关联</t>
  </si>
  <si>
    <t>online_record</t>
  </si>
  <si>
    <t>上机记录</t>
  </si>
  <si>
    <t>computer</t>
  </si>
  <si>
    <t>机位、区域、价格、状态</t>
  </si>
  <si>
    <t>电脑使用历史</t>
  </si>
  <si>
    <t>member / computer</t>
  </si>
  <si>
    <t>预约双方</t>
  </si>
  <si>
    <t>reservation_record</t>
  </si>
  <si>
    <t>预约状态流转</t>
  </si>
  <si>
    <t>基础资料</t>
  </si>
  <si>
    <t>food_item</t>
  </si>
  <si>
    <t>商品分类与价格</t>
  </si>
  <si>
    <t>food_order</t>
  </si>
  <si>
    <t>订单与价格快照</t>
  </si>
  <si>
    <t>会员余额</t>
  </si>
  <si>
    <t>会员点餐扣款</t>
  </si>
  <si>
    <t>member_id 可空</t>
  </si>
  <si>
    <t>阅读建议</t>
  </si>
  <si>
    <t/>
  </si>
  <si>
    <t>1</t>
  </si>
  <si>
    <t>先看“表目录”了解边界</t>
  </si>
  <si>
    <t>2</t>
  </si>
  <si>
    <t>再看“数据字典”核对字段</t>
  </si>
  <si>
    <t>3</t>
  </si>
  <si>
    <t>通过“表关系”理解业务关联</t>
  </si>
  <si>
    <t>4</t>
  </si>
  <si>
    <t>用“状态字典”核对流转</t>
  </si>
  <si>
    <t>说明</t>
  </si>
  <si>
    <t>当前 SQL 不声明外键，关系由 Service 层业务校验维护。生产环境建议结合数据量和并发要求增加索引、唯一约束或条件更新。</t>
  </si>
  <si>
    <t>数据表目录</t>
  </si>
  <si>
    <t>表数量、用途、分类与 Java 实体映射；字段数量通过数据字典公式统计</t>
  </si>
  <si>
    <t>表名</t>
  </si>
  <si>
    <t>中文名称</t>
  </si>
  <si>
    <t>主要用途</t>
  </si>
  <si>
    <t>类别</t>
  </si>
  <si>
    <t>Java 实体</t>
  </si>
  <si>
    <t>字段数</t>
  </si>
  <si>
    <t>备注</t>
  </si>
  <si>
    <t>admin</t>
  </si>
  <si>
    <t>管理员表</t>
  </si>
  <si>
    <t>保存后台登录账号</t>
  </si>
  <si>
    <t>Admin</t>
  </si>
  <si>
    <t>基础/核心数据</t>
  </si>
  <si>
    <t>用户/会员表</t>
  </si>
  <si>
    <t>保存登录资料、等级、状态和余额</t>
  </si>
  <si>
    <t>Member</t>
  </si>
  <si>
    <t>电脑机位表</t>
  </si>
  <si>
    <t>保存机位区域、单价和占用状态</t>
  </si>
  <si>
    <t>Computer</t>
  </si>
  <si>
    <t>充值记录表</t>
  </si>
  <si>
    <t>保存每次充值明细</t>
  </si>
  <si>
    <t>业务记录</t>
  </si>
  <si>
    <t>RechargeRecord</t>
  </si>
  <si>
    <t>业务过程数据</t>
  </si>
  <si>
    <t>上机记录表</t>
  </si>
  <si>
    <t>保存实时计费和上下机信息</t>
  </si>
  <si>
    <t>OnlineRecord</t>
  </si>
  <si>
    <t>预约记录表</t>
  </si>
  <si>
    <t>保存电脑预约和状态流转</t>
  </si>
  <si>
    <t>ReservationRecord</t>
  </si>
  <si>
    <t>点餐商品表</t>
  </si>
  <si>
    <t>保存商品分类、价格和上下架状态</t>
  </si>
  <si>
    <t>FoodItem</t>
  </si>
  <si>
    <t>点餐订单表</t>
  </si>
  <si>
    <t>保存订单金额和商品快照</t>
  </si>
  <si>
    <t>FoodOrder</t>
  </si>
  <si>
    <t>完整数据字典</t>
  </si>
  <si>
    <t>共 8 张数据表、61 个数据库字段；运行时临时字段不计入物理表</t>
  </si>
  <si>
    <t>中文表名</t>
  </si>
  <si>
    <t>字段名</t>
  </si>
  <si>
    <t>中文字段</t>
  </si>
  <si>
    <t>类型</t>
  </si>
  <si>
    <t>长度/精度</t>
  </si>
  <si>
    <t>可空</t>
  </si>
  <si>
    <t>默认值</t>
  </si>
  <si>
    <t>id</t>
  </si>
  <si>
    <t>BIGINT</t>
  </si>
  <si>
    <t>—</t>
  </si>
  <si>
    <t>是</t>
  </si>
  <si>
    <t>否</t>
  </si>
  <si>
    <t>AUTO_INCREMENT</t>
  </si>
  <si>
    <t>管理员唯一编号</t>
  </si>
  <si>
    <t>username</t>
  </si>
  <si>
    <t>用户名</t>
  </si>
  <si>
    <t>VARCHAR</t>
  </si>
  <si>
    <t>50</t>
  </si>
  <si>
    <t>管理员登录账号</t>
  </si>
  <si>
    <t>password</t>
  </si>
  <si>
    <t>课堂版明文密码</t>
  </si>
  <si>
    <t>real_name</t>
  </si>
  <si>
    <t>真实姓名</t>
  </si>
  <si>
    <t>后台顶部展示名称</t>
  </si>
  <si>
    <t>用户唯一编号</t>
  </si>
  <si>
    <t>登录账号</t>
  </si>
  <si>
    <t>与身份证号保持一致</t>
  </si>
  <si>
    <t>登录密码</t>
  </si>
  <si>
    <t>123456</t>
  </si>
  <si>
    <t>课堂版登录密码</t>
  </si>
  <si>
    <t>id_card</t>
  </si>
  <si>
    <t>身份证号</t>
  </si>
  <si>
    <t>30</t>
  </si>
  <si>
    <t>用户端登录账号；注册时唯一</t>
  </si>
  <si>
    <t>name</t>
  </si>
  <si>
    <t>用户姓名</t>
  </si>
  <si>
    <t>业务显示名称</t>
  </si>
  <si>
    <t>phone</t>
  </si>
  <si>
    <t>手机号</t>
  </si>
  <si>
    <t>20</t>
  </si>
  <si>
    <t>注册时唯一</t>
  </si>
  <si>
    <t>balance</t>
  </si>
  <si>
    <t>账户余额</t>
  </si>
  <si>
    <t>DECIMAL</t>
  </si>
  <si>
    <t>10,2</t>
  </si>
  <si>
    <t>0.00</t>
  </si>
  <si>
    <t>充值、上机、点餐共同使用</t>
  </si>
  <si>
    <t>user_type</t>
  </si>
  <si>
    <t>用户类型</t>
  </si>
  <si>
    <t>会员</t>
  </si>
  <si>
    <t>会员 / 散客</t>
  </si>
  <si>
    <t>member_level</t>
  </si>
  <si>
    <t>会员级别</t>
  </si>
  <si>
    <t>普通会员</t>
  </si>
  <si>
    <t>散客 / 普通 / 黄金 / 钻石</t>
  </si>
  <si>
    <t>status</t>
  </si>
  <si>
    <t>账号状态</t>
  </si>
  <si>
    <t>正常</t>
  </si>
  <si>
    <t>正常 / 禁用</t>
  </si>
  <si>
    <t>create_time</t>
  </si>
  <si>
    <t>注册时间</t>
  </si>
  <si>
    <t>DATETIME</t>
  </si>
  <si>
    <t>账号创建时间</t>
  </si>
  <si>
    <t>电脑唯一编号</t>
  </si>
  <si>
    <t>computer_no</t>
  </si>
  <si>
    <t>电脑编号</t>
  </si>
  <si>
    <t>座位图显示编号</t>
  </si>
  <si>
    <t>area</t>
  </si>
  <si>
    <t>所在区域</t>
  </si>
  <si>
    <t>座位图分组依据</t>
  </si>
  <si>
    <t>price_per_hour</t>
  </si>
  <si>
    <t>每小时单价</t>
  </si>
  <si>
    <t>实时计费基础单价</t>
  </si>
  <si>
    <t>机位状态</t>
  </si>
  <si>
    <t>空闲</t>
  </si>
  <si>
    <t>空闲 / 使用中 / 预约锁定 / 维修中</t>
  </si>
  <si>
    <t>remark</t>
  </si>
  <si>
    <t>200</t>
  </si>
  <si>
    <t>NULL</t>
  </si>
  <si>
    <t>配置或维修说明</t>
  </si>
  <si>
    <t>充值记录编号</t>
  </si>
  <si>
    <t>member_id</t>
  </si>
  <si>
    <t>用户编号</t>
  </si>
  <si>
    <t>逻辑关联 member.id</t>
  </si>
  <si>
    <t>member_name</t>
  </si>
  <si>
    <t>用户姓名快照</t>
  </si>
  <si>
    <t>保留下单时显示名称</t>
  </si>
  <si>
    <t>amount</t>
  </si>
  <si>
    <t>充值金额</t>
  </si>
  <si>
    <t>必须大于 0</t>
  </si>
  <si>
    <t>充值时间</t>
  </si>
  <si>
    <t>业务发生时间</t>
  </si>
  <si>
    <t>上机记录编号</t>
  </si>
  <si>
    <t>历史展示不依赖用户资料变化</t>
  </si>
  <si>
    <t>computer_id</t>
  </si>
  <si>
    <t>电脑编号ID</t>
  </si>
  <si>
    <t>逻辑关联 computer.id</t>
  </si>
  <si>
    <t>电脑编号快照</t>
  </si>
  <si>
    <t>历史展示编号</t>
  </si>
  <si>
    <t>start_time</t>
  </si>
  <si>
    <t>开始时间</t>
  </si>
  <si>
    <t>实时计费起点</t>
  </si>
  <si>
    <t>end_time</t>
  </si>
  <si>
    <t>结束时间</t>
  </si>
  <si>
    <t>进行中时为空</t>
  </si>
  <si>
    <t>total_amount</t>
  </si>
  <si>
    <t>已扣累计金额</t>
  </si>
  <si>
    <t>避免定时任务重复扣费</t>
  </si>
  <si>
    <t>上机状态</t>
  </si>
  <si>
    <t>进行中 / 已完成</t>
  </si>
  <si>
    <t>预约记录编号</t>
  </si>
  <si>
    <t>预约历史展示</t>
  </si>
  <si>
    <t>reserve_time</t>
  </si>
  <si>
    <t>预约时间</t>
  </si>
  <si>
    <t>只能在未来一小时内</t>
  </si>
  <si>
    <t>预约状态</t>
  </si>
  <si>
    <t>已预约</t>
  </si>
  <si>
    <t>已预约 / 已取消 / 已上机</t>
  </si>
  <si>
    <t>创建时间</t>
  </si>
  <si>
    <t>预约提交时间</t>
  </si>
  <si>
    <t>商品编号</t>
  </si>
  <si>
    <t>商品名称</t>
  </si>
  <si>
    <t>商品显示名称</t>
  </si>
  <si>
    <t>category</t>
  </si>
  <si>
    <t>商品分类</t>
  </si>
  <si>
    <t>其他</t>
  </si>
  <si>
    <t>饮料 / 餐食 / 零食 / 其他</t>
  </si>
  <si>
    <t>price</t>
  </si>
  <si>
    <t>商品单价</t>
  </si>
  <si>
    <t>订单价格来源</t>
  </si>
  <si>
    <t>商品状态</t>
  </si>
  <si>
    <t>上架</t>
  </si>
  <si>
    <t>上架 / 下架</t>
  </si>
  <si>
    <t>商品备注</t>
  </si>
  <si>
    <t>商品描述</t>
  </si>
  <si>
    <t>订单编号</t>
  </si>
  <si>
    <t>会员订单逻辑关联 member.id</t>
  </si>
  <si>
    <t>会员姓名快照</t>
  </si>
  <si>
    <t>散客订单可为空</t>
  </si>
  <si>
    <t>customer_type</t>
  </si>
  <si>
    <t>顾客类型</t>
  </si>
  <si>
    <t>customer_name</t>
  </si>
  <si>
    <t>顾客姓名</t>
  </si>
  <si>
    <t>订单交付识别信息</t>
  </si>
  <si>
    <t>food_item_id</t>
  </si>
  <si>
    <t>逻辑关联 food_item.id</t>
  </si>
  <si>
    <t>food_item_name</t>
  </si>
  <si>
    <t>商品名称快照</t>
  </si>
  <si>
    <t>避免改名影响历史订单</t>
  </si>
  <si>
    <t>下单单价</t>
  </si>
  <si>
    <t>保存下单时价格</t>
  </si>
  <si>
    <t>quantity</t>
  </si>
  <si>
    <t>数量</t>
  </si>
  <si>
    <t>INT</t>
  </si>
  <si>
    <t>订单总额</t>
  </si>
  <si>
    <t>单价 × 数量</t>
  </si>
  <si>
    <t>订单状态</t>
  </si>
  <si>
    <t>已下单</t>
  </si>
  <si>
    <t>已下单 / 已完成 / 已取消</t>
  </si>
  <si>
    <t>下单时间</t>
  </si>
  <si>
    <t>订单创建时间</t>
  </si>
  <si>
    <t>表关系设计</t>
  </si>
  <si>
    <t>当前数据库采用逻辑关联；关系由业务层校验，未在 SQL 中声明 FOREIGN KEY</t>
  </si>
  <si>
    <t>关系编号</t>
  </si>
  <si>
    <t>主表字段</t>
  </si>
  <si>
    <t>从表字段</t>
  </si>
  <si>
    <t>基数</t>
  </si>
  <si>
    <t>实现方式</t>
  </si>
  <si>
    <t>业务含义</t>
  </si>
  <si>
    <t>一致性说明</t>
  </si>
  <si>
    <t>R-01</t>
  </si>
  <si>
    <t>member.id</t>
  </si>
  <si>
    <t>recharge_record.member_id</t>
  </si>
  <si>
    <t>一个用户可有多条充值记录</t>
  </si>
  <si>
    <t>当前 SQL 未声明物理外键</t>
  </si>
  <si>
    <t>R-02</t>
  </si>
  <si>
    <t>online_record.member_id</t>
  </si>
  <si>
    <t>一个用户可有多条上机记录</t>
  </si>
  <si>
    <t>业务层限制同一时间仅一条进行中记录</t>
  </si>
  <si>
    <t>R-03</t>
  </si>
  <si>
    <t>computer.id</t>
  </si>
  <si>
    <t>online_record.computer_id</t>
  </si>
  <si>
    <t>一台电脑可产生多条历史上机记录</t>
  </si>
  <si>
    <t>进行中记录与 computer.status 联动</t>
  </si>
  <si>
    <t>R-04</t>
  </si>
  <si>
    <t>reservation_record.member_id</t>
  </si>
  <si>
    <t>一个用户可产生多条预约记录</t>
  </si>
  <si>
    <t>预约超时后保留历史记录</t>
  </si>
  <si>
    <t>R-05</t>
  </si>
  <si>
    <t>reservation_record.computer_id</t>
  </si>
  <si>
    <t>一台电脑可产生多条历史预约</t>
  </si>
  <si>
    <t>有效预约与预约锁定状态联动</t>
  </si>
  <si>
    <t>R-06</t>
  </si>
  <si>
    <t>food_order.member_id</t>
  </si>
  <si>
    <t>可空逻辑关联</t>
  </si>
  <si>
    <t>会员可产生多条订单</t>
  </si>
  <si>
    <t>散客订单 member_id 可为空</t>
  </si>
  <si>
    <t>R-07</t>
  </si>
  <si>
    <t>food_item.id</t>
  </si>
  <si>
    <t>food_order.food_item_id</t>
  </si>
  <si>
    <t>一个商品可出现在多条订单</t>
  </si>
  <si>
    <t>订单保存名称和价格快照</t>
  </si>
  <si>
    <t>关系示意</t>
  </si>
  <si>
    <t>1 ─── N</t>
  </si>
  <si>
    <t>充值</t>
  </si>
  <si>
    <t>N ─── 1</t>
  </si>
  <si>
    <t>上机计费</t>
  </si>
  <si>
    <t>预约锁定</t>
  </si>
  <si>
    <t>点餐订单</t>
  </si>
  <si>
    <t>独立表</t>
  </si>
  <si>
    <t>后台登录</t>
  </si>
  <si>
    <t>状态与枚举字典</t>
  </si>
  <si>
    <t>前后端与数据库必须使用同一组固定中文状态值</t>
  </si>
  <si>
    <t>所属表</t>
  </si>
  <si>
    <t>字段</t>
  </si>
  <si>
    <t>状态/枚举值</t>
  </si>
  <si>
    <t>推荐颜色</t>
  </si>
  <si>
    <t>允许登录并使用业务功能</t>
  </si>
  <si>
    <t>#128450</t>
  </si>
  <si>
    <t>禁用</t>
  </si>
  <si>
    <t>禁止用户端登录</t>
  </si>
  <si>
    <t>#B42318</t>
  </si>
  <si>
    <t>可使用会员业务</t>
  </si>
  <si>
    <t>#2457D6</t>
  </si>
  <si>
    <t>散客</t>
  </si>
  <si>
    <t>充值后转普通会员</t>
  </si>
  <si>
    <t>#B66A16</t>
  </si>
  <si>
    <t>上机不打折</t>
  </si>
  <si>
    <t>#667085</t>
  </si>
  <si>
    <t>黄金会员</t>
  </si>
  <si>
    <t>上机 9 折</t>
  </si>
  <si>
    <t>钻石会员</t>
  </si>
  <si>
    <t>上机 8 折</t>
  </si>
  <si>
    <t>允许上机或预约</t>
  </si>
  <si>
    <t>使用中</t>
  </si>
  <si>
    <t>已有用户正在使用</t>
  </si>
  <si>
    <t>已被预约，禁止其他操作</t>
  </si>
  <si>
    <t>#8066D9</t>
  </si>
  <si>
    <t>维修中</t>
  </si>
  <si>
    <t>暂停使用</t>
  </si>
  <si>
    <t>进行中</t>
  </si>
  <si>
    <t>正在实时计费</t>
  </si>
  <si>
    <t>已完成</t>
  </si>
  <si>
    <t>已下机，不再计费</t>
  </si>
  <si>
    <t>等待预约上机</t>
  </si>
  <si>
    <t>已上机</t>
  </si>
  <si>
    <t>已转为上机记录</t>
  </si>
  <si>
    <t>已取消</t>
  </si>
  <si>
    <t>主动或超时取消</t>
  </si>
  <si>
    <t>用户端可见可下单</t>
  </si>
  <si>
    <t>下架</t>
  </si>
  <si>
    <t>不允许新下单</t>
  </si>
  <si>
    <t>等待完成或取消</t>
  </si>
  <si>
    <t>商品已交付</t>
  </si>
  <si>
    <t>订单终止；会员已退款</t>
  </si>
  <si>
    <t>数据库设计规则与风险边界</t>
  </si>
  <si>
    <t>用于编码、测试、部署和后续生产化改造的统一约束</t>
  </si>
  <si>
    <t>规则编号</t>
  </si>
  <si>
    <t>主题</t>
  </si>
  <si>
    <t>当前设计</t>
  </si>
  <si>
    <t>设计说明</t>
  </si>
  <si>
    <t>DB-01</t>
  </si>
  <si>
    <t>数据库字符集</t>
  </si>
  <si>
    <t>utf8mb4 / utf8mb4_general_ci</t>
  </si>
  <si>
    <t>保证中文和扩展字符正常保存</t>
  </si>
  <si>
    <t>DB-02</t>
  </si>
  <si>
    <t>主键策略</t>
  </si>
  <si>
    <t>BIGINT AUTO_INCREMENT</t>
  </si>
  <si>
    <t>所有业务表使用自增主键</t>
  </si>
  <si>
    <t>DB-03</t>
  </si>
  <si>
    <t>命名规则</t>
  </si>
  <si>
    <t>数据库 snake_case，Java camelCase</t>
  </si>
  <si>
    <t>由 MyBatis-Plus 自动映射</t>
  </si>
  <si>
    <t>DB-04</t>
  </si>
  <si>
    <t>金额精度</t>
  </si>
  <si>
    <t>DECIMAL(10,2) / BigDecimal</t>
  </si>
  <si>
    <t>避免浮点精度误差</t>
  </si>
  <si>
    <t>DB-05</t>
  </si>
  <si>
    <t>时间类型</t>
  </si>
  <si>
    <t>DATETIME / LocalDateTime</t>
  </si>
  <si>
    <t>服务端时区 Asia/Shanghai</t>
  </si>
  <si>
    <t>DB-06</t>
  </si>
  <si>
    <t>业务快照</t>
  </si>
  <si>
    <t>记录表保存姓名、编号、名称、价格</t>
  </si>
  <si>
    <t>基础资料变化不影响历史记录</t>
  </si>
  <si>
    <t>DB-07</t>
  </si>
  <si>
    <t>实时计费</t>
  </si>
  <si>
    <t>total_amount 保存已扣累计金额</t>
  </si>
  <si>
    <t>当前应收减已扣金额，仅扣差额</t>
  </si>
  <si>
    <t>DB-08</t>
  </si>
  <si>
    <t>状态一致性</t>
  </si>
  <si>
    <t>上机/预约记录与 computer.status 联动</t>
  </si>
  <si>
    <t>下机或取消必须释放电脑</t>
  </si>
  <si>
    <t>DB-09</t>
  </si>
  <si>
    <t>事务范围</t>
  </si>
  <si>
    <t>充值、上机、预约、会员下单</t>
  </si>
  <si>
    <t>多表修改失败时整体回滚</t>
  </si>
  <si>
    <t>DB-10</t>
  </si>
  <si>
    <t>外键策略</t>
  </si>
  <si>
    <t>课堂版采用逻辑关联</t>
  </si>
  <si>
    <t>生产版建议补充约束或条件更新</t>
  </si>
  <si>
    <t>DB-11</t>
  </si>
  <si>
    <t>敏感数据</t>
  </si>
  <si>
    <t>当前课堂版密码为明文</t>
  </si>
  <si>
    <t>生产版必须使用 BCrypt 等散列算法</t>
  </si>
  <si>
    <t>DB-12</t>
  </si>
  <si>
    <t>数据备份</t>
  </si>
  <si>
    <t>定期备份 wangguantong 数据库</t>
  </si>
  <si>
    <t>恢复前应暂停业务写入</t>
  </si>
  <si>
    <t>生产化优先改进建议</t>
  </si>
  <si>
    <t>P0</t>
  </si>
  <si>
    <t>密码安全</t>
  </si>
  <si>
    <t>使用 BCrypt 保存密码散列</t>
  </si>
  <si>
    <t>禁止保存或返回明文密码</t>
  </si>
  <si>
    <t>接口权限</t>
  </si>
  <si>
    <t>Spring Security + Session/JWT</t>
  </si>
  <si>
    <t>后端验证管理员和用户身份</t>
  </si>
  <si>
    <t>P1</t>
  </si>
  <si>
    <t>并发一致性</t>
  </si>
  <si>
    <t>状态条件更新 / 乐观锁 / 唯一约束</t>
  </si>
  <si>
    <t>避免同一电脑重复上机或预约</t>
  </si>
  <si>
    <t>查询性能</t>
  </si>
  <si>
    <t>按实际数据量增加 member_id、status、create_time 索引</t>
  </si>
  <si>
    <t>上线前使用 EXPLAIN 验证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</si>
</sst>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name val="Carlito"/>
      <charset val="134"/>
    </font>
    <font>
      <b/>
      <sz val="18"/>
      <color rgb="FFFFFFFF"/>
      <name val="Microsoft YaHei"/>
      <charset val="134"/>
    </font>
    <font>
      <sz val="10"/>
      <color rgb="FF667085"/>
      <name val="Microsoft YaHei"/>
      <charset val="134"/>
    </font>
    <font>
      <b/>
      <sz val="10"/>
      <color rgb="FFFFFFFF"/>
      <name val="Microsoft YaHei"/>
      <charset val="134"/>
    </font>
    <font>
      <sz val="9"/>
      <color rgb="FF182230"/>
      <name val="Microsoft YaHei"/>
      <charset val="134"/>
    </font>
    <font>
      <b/>
      <sz val="11"/>
      <color rgb="FFB42318"/>
      <name val="Microsoft YaHei"/>
      <charset val="134"/>
    </font>
    <font>
      <b/>
      <sz val="12"/>
      <color rgb="FF16324F"/>
      <name val="Microsoft YaHei"/>
      <charset val="134"/>
    </font>
    <font>
      <b/>
      <sz val="11"/>
      <color rgb="FFFFFFFF"/>
      <name val="Microsoft YaHei"/>
      <charset val="134"/>
    </font>
    <font>
      <b/>
      <sz val="16"/>
      <color rgb="FF128450"/>
      <name val="Microsoft YaHei"/>
      <charset val="134"/>
    </font>
    <font>
      <b/>
      <sz val="11"/>
      <color rgb="FFB66A16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6324F"/>
        <bgColor indexed="64"/>
      </patternFill>
    </fill>
    <fill>
      <patternFill patternType="solid">
        <fgColor rgb="FFEAF1FF"/>
        <bgColor indexed="64"/>
      </patternFill>
    </fill>
    <fill>
      <patternFill patternType="solid">
        <fgColor rgb="FF2457D6"/>
        <bgColor indexed="64"/>
      </patternFill>
    </fill>
    <fill>
      <patternFill patternType="solid">
        <fgColor rgb="FFFFF0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EAF8F1"/>
        <bgColor indexed="64"/>
      </patternFill>
    </fill>
    <fill>
      <patternFill patternType="solid">
        <fgColor rgb="FFFFF5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0E8"/>
      </left>
      <right style="thin">
        <color rgb="FFD9E0E8"/>
      </right>
      <top style="thin">
        <color rgb="FFD9E0E8"/>
      </top>
      <bottom style="thin">
        <color rgb="FFD9E0E8"/>
      </bottom>
      <diagonal/>
    </border>
    <border>
      <left/>
      <right/>
      <top/>
      <bottom style="thin">
        <color rgb="FFD9E0E8"/>
      </bottom>
      <diagonal/>
    </border>
    <border>
      <left/>
      <right/>
      <top style="thin">
        <color rgb="FFD9E0E8"/>
      </top>
      <bottom style="thin">
        <color rgb="FFD9E0E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10" fillId="0" borderId="0">
      <alignment vertical="center"/>
    </xf>
    <xf numFmtId="43" fontId="10" fillId="0" borderId="0" applyFont="0" applyFill="0" applyBorder="0" applyAlignment="0" applyProtection="0">
      <alignment vertical="center"/>
    </xf>
    <xf numFmtId="44" fontId="10" fillId="0" borderId="0" applyFont="0" applyFill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41" fontId="10" fillId="0" borderId="0" applyFont="0" applyFill="0" applyBorder="0" applyAlignment="0" applyProtection="0">
      <alignment vertical="center"/>
    </xf>
    <xf numFmtId="42" fontId="1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11" borderId="7" applyNumberFormat="0" applyAlignment="0" applyProtection="0">
      <alignment vertical="center"/>
    </xf>
    <xf numFmtId="0" fontId="22" fillId="12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0" fillId="0" borderId="0"/>
  </cellStyleXfs>
  <cellXfs count="16">
    <xf numFmtId="0" fontId="0" fillId="0" borderId="0" xfId="49"/>
    <xf numFmtId="0" fontId="1" fillId="2" borderId="0" xfId="49" applyNumberFormat="1" applyFont="1" applyFill="1" applyBorder="1" applyAlignment="1">
      <alignment horizontal="left" vertical="center"/>
    </xf>
    <xf numFmtId="0" fontId="2" fillId="3" borderId="0" xfId="49" applyNumberFormat="1" applyFont="1" applyFill="1" applyBorder="1" applyAlignment="1">
      <alignment horizontal="left"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0" borderId="2" xfId="49" applyNumberFormat="1" applyFont="1" applyFill="1" applyBorder="1" applyAlignment="1">
      <alignment vertical="center" wrapText="1"/>
    </xf>
    <xf numFmtId="0" fontId="4" fillId="0" borderId="3" xfId="49" applyNumberFormat="1" applyFont="1" applyFill="1" applyBorder="1" applyAlignment="1">
      <alignment vertical="center" wrapText="1"/>
    </xf>
    <xf numFmtId="0" fontId="5" fillId="5" borderId="0" xfId="49" applyNumberFormat="1" applyFont="1" applyFill="1" applyBorder="1"/>
    <xf numFmtId="0" fontId="6" fillId="6" borderId="0" xfId="49" applyNumberFormat="1" applyFont="1" applyFill="1" applyBorder="1"/>
    <xf numFmtId="0" fontId="4" fillId="0" borderId="2" xfId="49" applyNumberFormat="1" applyFont="1" applyFill="1" applyBorder="1" applyAlignment="1">
      <alignment horizontal="center" vertical="center" wrapText="1"/>
    </xf>
    <xf numFmtId="0" fontId="4" fillId="0" borderId="3" xfId="49" applyNumberFormat="1" applyFont="1" applyFill="1" applyBorder="1" applyAlignment="1">
      <alignment horizontal="center" vertical="center" wrapText="1"/>
    </xf>
    <xf numFmtId="1" fontId="4" fillId="0" borderId="2" xfId="49" applyNumberFormat="1" applyFont="1" applyFill="1" applyBorder="1" applyAlignment="1">
      <alignment horizontal="center" vertical="center" wrapText="1"/>
    </xf>
    <xf numFmtId="1" fontId="4" fillId="0" borderId="3" xfId="49" applyNumberFormat="1" applyFont="1" applyFill="1" applyBorder="1" applyAlignment="1">
      <alignment horizontal="center" vertical="center" wrapText="1"/>
    </xf>
    <xf numFmtId="0" fontId="7" fillId="4" borderId="0" xfId="49" applyNumberFormat="1" applyFont="1" applyFill="1" applyBorder="1" applyAlignment="1">
      <alignment horizontal="center" vertical="center"/>
    </xf>
    <xf numFmtId="0" fontId="8" fillId="7" borderId="1" xfId="49" applyNumberFormat="1" applyFont="1" applyFill="1" applyBorder="1" applyAlignment="1">
      <alignment horizontal="center" vertical="center" wrapText="1"/>
    </xf>
    <xf numFmtId="0" fontId="6" fillId="6" borderId="0" xfId="49" applyNumberFormat="1" applyFont="1" applyFill="1" applyBorder="1" applyAlignment="1">
      <alignment vertical="center"/>
    </xf>
    <xf numFmtId="0" fontId="9" fillId="8" borderId="0" xfId="49" applyNumberFormat="1" applyFont="1" applyFill="1" applyBorder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showGridLines="0" zoomScale="94" zoomScaleNormal="94" workbookViewId="0">
      <selection activeCell="A1" sqref="A1:H1"/>
    </sheetView>
  </sheetViews>
  <sheetFormatPr defaultColWidth="9" defaultRowHeight="16.8" outlineLevelCol="7"/>
  <cols>
    <col min="1" max="3" width="18" customWidth="1"/>
    <col min="4" max="4" width="22" customWidth="1"/>
    <col min="5" max="7" width="18" customWidth="1"/>
    <col min="8" max="8" width="22" customWidth="1"/>
  </cols>
  <sheetData>
    <row r="1" ht="36" customHeight="1" spans="1:8">
      <c r="A1" s="1" t="s">
        <v>0</v>
      </c>
      <c r="B1" s="1"/>
      <c r="C1" s="1"/>
      <c r="D1" s="1"/>
      <c r="E1" s="1"/>
      <c r="F1" s="1"/>
      <c r="G1" s="1"/>
      <c r="H1" s="1"/>
    </row>
    <row r="2" ht="25" customHeight="1" spans="1:8">
      <c r="A2" s="2" t="s">
        <v>1</v>
      </c>
      <c r="B2" s="2"/>
      <c r="C2" s="2"/>
      <c r="D2" s="2"/>
      <c r="E2" s="2"/>
      <c r="F2" s="2"/>
      <c r="G2" s="2"/>
      <c r="H2" s="2"/>
    </row>
    <row r="3" ht="28" customHeight="1"/>
    <row r="4" ht="28" customHeight="1" spans="1:8">
      <c r="A4" s="12" t="s">
        <v>2</v>
      </c>
      <c r="B4" s="12"/>
      <c r="D4" s="12" t="s">
        <v>3</v>
      </c>
      <c r="E4" s="12"/>
      <c r="G4" s="12" t="s">
        <v>4</v>
      </c>
      <c r="H4" s="12"/>
    </row>
    <row r="5" ht="28" customHeight="1" spans="1:8">
      <c r="A5" s="4" t="s">
        <v>5</v>
      </c>
      <c r="B5" s="13">
        <f>COUNTA(表目录!A5:A12)</f>
        <v>8</v>
      </c>
      <c r="C5" s="4"/>
      <c r="D5" s="4" t="s">
        <v>6</v>
      </c>
      <c r="E5" s="4" t="s">
        <v>7</v>
      </c>
      <c r="F5" s="4"/>
      <c r="G5" s="4" t="s">
        <v>8</v>
      </c>
      <c r="H5" s="4" t="s">
        <v>9</v>
      </c>
    </row>
    <row r="6" ht="28" customHeight="1" spans="1:8">
      <c r="A6" s="5" t="s">
        <v>10</v>
      </c>
      <c r="B6" s="13">
        <f>COUNTA(数据字典!C5:C100)</f>
        <v>61</v>
      </c>
      <c r="C6" s="5"/>
      <c r="D6" s="5" t="s">
        <v>11</v>
      </c>
      <c r="E6" s="5" t="s">
        <v>12</v>
      </c>
      <c r="F6" s="5"/>
      <c r="G6" s="5" t="s">
        <v>13</v>
      </c>
      <c r="H6" s="5" t="s">
        <v>14</v>
      </c>
    </row>
    <row r="7" ht="28" customHeight="1" spans="1:8">
      <c r="A7" s="5" t="s">
        <v>15</v>
      </c>
      <c r="B7" s="13">
        <f>COUNTA(表关系!A5:A11)</f>
        <v>7</v>
      </c>
      <c r="C7" s="5"/>
      <c r="D7" s="5" t="s">
        <v>16</v>
      </c>
      <c r="E7" s="5" t="s">
        <v>17</v>
      </c>
      <c r="F7" s="5"/>
      <c r="G7" s="5" t="s">
        <v>18</v>
      </c>
      <c r="H7" s="5" t="s">
        <v>19</v>
      </c>
    </row>
    <row r="8" ht="28" customHeight="1" spans="1:8">
      <c r="A8" s="5" t="s">
        <v>20</v>
      </c>
      <c r="B8" s="13">
        <f>COUNTA(状态字典!A5:A40)</f>
        <v>21</v>
      </c>
      <c r="C8" s="5"/>
      <c r="D8" s="5" t="s">
        <v>21</v>
      </c>
      <c r="E8" s="5" t="s">
        <v>22</v>
      </c>
      <c r="F8" s="5"/>
      <c r="G8" s="5" t="s">
        <v>23</v>
      </c>
      <c r="H8" s="5" t="s">
        <v>24</v>
      </c>
    </row>
    <row r="9" ht="28" customHeight="1"/>
    <row r="10" ht="28" customHeight="1" spans="1:8">
      <c r="A10" s="14" t="s">
        <v>25</v>
      </c>
      <c r="B10" s="14"/>
      <c r="C10" s="14"/>
      <c r="D10" s="14"/>
      <c r="E10" s="14"/>
      <c r="F10" s="14"/>
      <c r="G10" s="14"/>
      <c r="H10" s="14"/>
    </row>
    <row r="11" ht="28" customHeight="1" spans="1:8">
      <c r="A11" s="4" t="s">
        <v>26</v>
      </c>
      <c r="B11" s="4" t="s">
        <v>27</v>
      </c>
      <c r="C11" s="4" t="s">
        <v>28</v>
      </c>
      <c r="D11" s="4" t="s">
        <v>29</v>
      </c>
      <c r="E11" s="4" t="s">
        <v>30</v>
      </c>
      <c r="F11" s="4" t="s">
        <v>31</v>
      </c>
      <c r="G11" s="4" t="s">
        <v>32</v>
      </c>
      <c r="H11" s="4" t="s">
        <v>33</v>
      </c>
    </row>
    <row r="12" ht="28" customHeight="1" spans="1:8">
      <c r="A12" s="5" t="s">
        <v>26</v>
      </c>
      <c r="B12" s="5" t="s">
        <v>27</v>
      </c>
      <c r="C12" s="5" t="s">
        <v>28</v>
      </c>
      <c r="D12" s="5" t="s">
        <v>29</v>
      </c>
      <c r="E12" s="5" t="s">
        <v>34</v>
      </c>
      <c r="F12" s="5" t="s">
        <v>35</v>
      </c>
      <c r="G12" s="5" t="s">
        <v>32</v>
      </c>
      <c r="H12" s="5" t="s">
        <v>33</v>
      </c>
    </row>
    <row r="13" ht="28" customHeight="1" spans="1:8">
      <c r="A13" s="5" t="s">
        <v>26</v>
      </c>
      <c r="B13" s="5" t="s">
        <v>36</v>
      </c>
      <c r="C13" s="5" t="s">
        <v>37</v>
      </c>
      <c r="D13" s="5" t="s">
        <v>29</v>
      </c>
      <c r="E13" s="5" t="s">
        <v>34</v>
      </c>
      <c r="F13" s="5" t="s">
        <v>38</v>
      </c>
      <c r="G13" s="5" t="s">
        <v>32</v>
      </c>
      <c r="H13" s="5" t="s">
        <v>33</v>
      </c>
    </row>
    <row r="14" ht="28" customHeight="1" spans="1:8">
      <c r="A14" s="5" t="s">
        <v>26</v>
      </c>
      <c r="B14" s="5" t="s">
        <v>39</v>
      </c>
      <c r="C14" s="5" t="s">
        <v>40</v>
      </c>
      <c r="D14" s="5" t="s">
        <v>29</v>
      </c>
      <c r="E14" s="5" t="s">
        <v>41</v>
      </c>
      <c r="F14" s="5" t="s">
        <v>42</v>
      </c>
      <c r="G14" s="5" t="s">
        <v>32</v>
      </c>
      <c r="H14" s="5" t="s">
        <v>33</v>
      </c>
    </row>
    <row r="15" ht="28" customHeight="1" spans="1:8">
      <c r="A15" s="5" t="s">
        <v>43</v>
      </c>
      <c r="B15" s="5" t="s">
        <v>44</v>
      </c>
      <c r="C15" s="5" t="s">
        <v>45</v>
      </c>
      <c r="D15" s="5" t="s">
        <v>29</v>
      </c>
      <c r="E15" s="5" t="s">
        <v>46</v>
      </c>
      <c r="F15" s="5" t="s">
        <v>47</v>
      </c>
      <c r="G15" s="5" t="s">
        <v>32</v>
      </c>
      <c r="H15" s="5" t="s">
        <v>33</v>
      </c>
    </row>
    <row r="16" ht="28" customHeight="1" spans="1:8">
      <c r="A16" s="5" t="s">
        <v>26</v>
      </c>
      <c r="B16" s="5" t="s">
        <v>27</v>
      </c>
      <c r="C16" s="5" t="s">
        <v>48</v>
      </c>
      <c r="D16" s="5" t="s">
        <v>29</v>
      </c>
      <c r="E16" s="5" t="s">
        <v>46</v>
      </c>
      <c r="F16" s="5" t="s">
        <v>49</v>
      </c>
      <c r="G16" s="5" t="s">
        <v>32</v>
      </c>
      <c r="H16" s="5" t="s">
        <v>50</v>
      </c>
    </row>
    <row r="17" ht="28" customHeight="1"/>
    <row r="18" ht="28" customHeight="1" spans="1:8">
      <c r="A18" s="15" t="s">
        <v>51</v>
      </c>
      <c r="B18" s="15" t="s">
        <v>52</v>
      </c>
      <c r="C18" s="15" t="s">
        <v>52</v>
      </c>
      <c r="D18" s="15" t="s">
        <v>52</v>
      </c>
      <c r="E18" s="15" t="s">
        <v>52</v>
      </c>
      <c r="F18" s="15" t="s">
        <v>52</v>
      </c>
      <c r="G18" s="15" t="s">
        <v>52</v>
      </c>
      <c r="H18" s="15" t="s">
        <v>52</v>
      </c>
    </row>
    <row r="19" ht="28" customHeight="1" spans="1:8">
      <c r="A19" s="4" t="s">
        <v>53</v>
      </c>
      <c r="B19" s="4" t="s">
        <v>54</v>
      </c>
      <c r="C19" s="4" t="s">
        <v>55</v>
      </c>
      <c r="D19" s="4" t="s">
        <v>56</v>
      </c>
      <c r="E19" s="4" t="s">
        <v>57</v>
      </c>
      <c r="F19" s="4" t="s">
        <v>58</v>
      </c>
      <c r="G19" s="4" t="s">
        <v>59</v>
      </c>
      <c r="H19" s="4" t="s">
        <v>60</v>
      </c>
    </row>
    <row r="20" ht="28" customHeight="1" spans="1:8">
      <c r="A20" s="5" t="s">
        <v>61</v>
      </c>
      <c r="B20" s="5" t="s">
        <v>62</v>
      </c>
      <c r="C20" s="5" t="s">
        <v>52</v>
      </c>
      <c r="D20" s="5" t="s">
        <v>52</v>
      </c>
      <c r="E20" s="5" t="s">
        <v>52</v>
      </c>
      <c r="F20" s="5" t="s">
        <v>52</v>
      </c>
      <c r="G20" s="5" t="s">
        <v>52</v>
      </c>
      <c r="H20" s="5" t="s">
        <v>52</v>
      </c>
    </row>
  </sheetData>
  <mergeCells count="8">
    <mergeCell ref="A1:H1"/>
    <mergeCell ref="A2:H2"/>
    <mergeCell ref="A4:B4"/>
    <mergeCell ref="D4:E4"/>
    <mergeCell ref="G4:H4"/>
    <mergeCell ref="A10:H10"/>
    <mergeCell ref="A18:H18"/>
    <mergeCell ref="B20:H20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selection activeCell="A1" sqref="A1:G1"/>
    </sheetView>
  </sheetViews>
  <sheetFormatPr defaultColWidth="9" defaultRowHeight="16.8" outlineLevelCol="6"/>
  <cols>
    <col min="1" max="1" width="22" customWidth="1"/>
    <col min="2" max="2" width="18" customWidth="1"/>
    <col min="3" max="3" width="36" customWidth="1"/>
    <col min="4" max="4" width="14" customWidth="1"/>
    <col min="5" max="5" width="22" customWidth="1"/>
    <col min="6" max="6" width="10" customWidth="1"/>
    <col min="7" max="7" width="18" customWidth="1"/>
  </cols>
  <sheetData>
    <row r="1" ht="36" customHeight="1" spans="1:7">
      <c r="A1" s="1" t="s">
        <v>63</v>
      </c>
      <c r="B1" s="1"/>
      <c r="C1" s="1"/>
      <c r="D1" s="1"/>
      <c r="E1" s="1"/>
      <c r="F1" s="1"/>
      <c r="G1" s="1"/>
    </row>
    <row r="2" ht="25" customHeight="1" spans="1:7">
      <c r="A2" s="2" t="s">
        <v>64</v>
      </c>
      <c r="B2" s="2"/>
      <c r="C2" s="2"/>
      <c r="D2" s="2"/>
      <c r="E2" s="2"/>
      <c r="F2" s="2"/>
      <c r="G2" s="2"/>
    </row>
    <row r="4" ht="30" customHeight="1" spans="1:7">
      <c r="A4" s="3" t="s">
        <v>65</v>
      </c>
      <c r="B4" s="3" t="s">
        <v>66</v>
      </c>
      <c r="C4" s="3" t="s">
        <v>67</v>
      </c>
      <c r="D4" s="3" t="s">
        <v>68</v>
      </c>
      <c r="E4" s="3" t="s">
        <v>69</v>
      </c>
      <c r="F4" s="3" t="s">
        <v>70</v>
      </c>
      <c r="G4" s="3" t="s">
        <v>71</v>
      </c>
    </row>
    <row r="5" ht="34" customHeight="1" spans="1:7">
      <c r="A5" s="4" t="s">
        <v>72</v>
      </c>
      <c r="B5" s="4" t="s">
        <v>73</v>
      </c>
      <c r="C5" s="4" t="s">
        <v>74</v>
      </c>
      <c r="D5" s="4" t="s">
        <v>43</v>
      </c>
      <c r="E5" s="4" t="s">
        <v>75</v>
      </c>
      <c r="F5" s="10">
        <f>COUNTIF(数据字典!$A$5:$A$100,A5)</f>
        <v>4</v>
      </c>
      <c r="G5" s="4" t="s">
        <v>76</v>
      </c>
    </row>
    <row r="6" ht="34" customHeight="1" spans="1:7">
      <c r="A6" s="5" t="s">
        <v>27</v>
      </c>
      <c r="B6" s="5" t="s">
        <v>77</v>
      </c>
      <c r="C6" s="5" t="s">
        <v>78</v>
      </c>
      <c r="D6" s="5" t="s">
        <v>26</v>
      </c>
      <c r="E6" s="5" t="s">
        <v>79</v>
      </c>
      <c r="F6" s="11">
        <f>COUNTIF(数据字典!$A$5:$A$100,A6)</f>
        <v>11</v>
      </c>
      <c r="G6" s="5" t="s">
        <v>76</v>
      </c>
    </row>
    <row r="7" ht="34" customHeight="1" spans="1:7">
      <c r="A7" s="5" t="s">
        <v>36</v>
      </c>
      <c r="B7" s="5" t="s">
        <v>80</v>
      </c>
      <c r="C7" s="5" t="s">
        <v>81</v>
      </c>
      <c r="D7" s="5" t="s">
        <v>26</v>
      </c>
      <c r="E7" s="5" t="s">
        <v>82</v>
      </c>
      <c r="F7" s="11">
        <f>COUNTIF(数据字典!$A$5:$A$100,A7)</f>
        <v>6</v>
      </c>
      <c r="G7" s="5" t="s">
        <v>76</v>
      </c>
    </row>
    <row r="8" ht="34" customHeight="1" spans="1:7">
      <c r="A8" s="5" t="s">
        <v>30</v>
      </c>
      <c r="B8" s="5" t="s">
        <v>83</v>
      </c>
      <c r="C8" s="5" t="s">
        <v>84</v>
      </c>
      <c r="D8" s="5" t="s">
        <v>85</v>
      </c>
      <c r="E8" s="5" t="s">
        <v>86</v>
      </c>
      <c r="F8" s="11">
        <f>COUNTIF(数据字典!$A$5:$A$100,A8)</f>
        <v>5</v>
      </c>
      <c r="G8" s="5" t="s">
        <v>87</v>
      </c>
    </row>
    <row r="9" ht="34" customHeight="1" spans="1:7">
      <c r="A9" s="5" t="s">
        <v>34</v>
      </c>
      <c r="B9" s="5" t="s">
        <v>88</v>
      </c>
      <c r="C9" s="5" t="s">
        <v>89</v>
      </c>
      <c r="D9" s="5" t="s">
        <v>85</v>
      </c>
      <c r="E9" s="5" t="s">
        <v>90</v>
      </c>
      <c r="F9" s="11">
        <f>COUNTIF(数据字典!$A$5:$A$100,A9)</f>
        <v>9</v>
      </c>
      <c r="G9" s="5" t="s">
        <v>87</v>
      </c>
    </row>
    <row r="10" ht="34" customHeight="1" spans="1:7">
      <c r="A10" s="5" t="s">
        <v>41</v>
      </c>
      <c r="B10" s="5" t="s">
        <v>91</v>
      </c>
      <c r="C10" s="5" t="s">
        <v>92</v>
      </c>
      <c r="D10" s="5" t="s">
        <v>85</v>
      </c>
      <c r="E10" s="5" t="s">
        <v>93</v>
      </c>
      <c r="F10" s="11">
        <f>COUNTIF(数据字典!$A$5:$A$100,A10)</f>
        <v>8</v>
      </c>
      <c r="G10" s="5" t="s">
        <v>87</v>
      </c>
    </row>
    <row r="11" ht="34" customHeight="1" spans="1:7">
      <c r="A11" s="5" t="s">
        <v>44</v>
      </c>
      <c r="B11" s="5" t="s">
        <v>94</v>
      </c>
      <c r="C11" s="5" t="s">
        <v>95</v>
      </c>
      <c r="D11" s="5" t="s">
        <v>43</v>
      </c>
      <c r="E11" s="5" t="s">
        <v>96</v>
      </c>
      <c r="F11" s="11">
        <f>COUNTIF(数据字典!$A$5:$A$100,A11)</f>
        <v>6</v>
      </c>
      <c r="G11" s="5" t="s">
        <v>87</v>
      </c>
    </row>
    <row r="12" ht="34" customHeight="1" spans="1:7">
      <c r="A12" s="5" t="s">
        <v>46</v>
      </c>
      <c r="B12" s="5" t="s">
        <v>97</v>
      </c>
      <c r="C12" s="5" t="s">
        <v>98</v>
      </c>
      <c r="D12" s="5" t="s">
        <v>85</v>
      </c>
      <c r="E12" s="5" t="s">
        <v>99</v>
      </c>
      <c r="F12" s="11">
        <f>COUNTIF(数据字典!$A$5:$A$100,A12)</f>
        <v>12</v>
      </c>
      <c r="G12" s="5" t="s">
        <v>87</v>
      </c>
    </row>
  </sheetData>
  <mergeCells count="2">
    <mergeCell ref="A1:G1"/>
    <mergeCell ref="A2:G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5"/>
  <sheetViews>
    <sheetView showGridLines="0" topLeftCell="A55" workbookViewId="0">
      <selection activeCell="A1" sqref="A1:J1"/>
    </sheetView>
  </sheetViews>
  <sheetFormatPr defaultColWidth="9" defaultRowHeight="16.8"/>
  <cols>
    <col min="1" max="1" width="22" customWidth="1"/>
    <col min="2" max="2" width="18" customWidth="1"/>
    <col min="3" max="3" width="22" customWidth="1"/>
    <col min="4" max="4" width="18" customWidth="1"/>
    <col min="5" max="5" width="14" customWidth="1"/>
    <col min="6" max="6" width="12" customWidth="1"/>
    <col min="7" max="8" width="9" customWidth="1"/>
    <col min="9" max="9" width="18" customWidth="1"/>
    <col min="10" max="10" width="38" customWidth="1"/>
  </cols>
  <sheetData>
    <row r="1" ht="36" customHeight="1" spans="1:10">
      <c r="A1" s="1" t="s">
        <v>100</v>
      </c>
      <c r="B1" s="1"/>
      <c r="C1" s="1"/>
      <c r="D1" s="1"/>
      <c r="E1" s="1"/>
      <c r="F1" s="1"/>
      <c r="G1" s="1"/>
      <c r="H1" s="1"/>
      <c r="I1" s="1"/>
      <c r="J1" s="1"/>
    </row>
    <row r="2" ht="25" customHeight="1" spans="1:10">
      <c r="A2" s="2" t="s">
        <v>101</v>
      </c>
      <c r="B2" s="2"/>
      <c r="C2" s="2"/>
      <c r="D2" s="2"/>
      <c r="E2" s="2"/>
      <c r="F2" s="2"/>
      <c r="G2" s="2"/>
      <c r="H2" s="2"/>
      <c r="I2" s="2"/>
      <c r="J2" s="2"/>
    </row>
    <row r="4" ht="30" customHeight="1" spans="1:10">
      <c r="A4" s="3" t="s">
        <v>65</v>
      </c>
      <c r="B4" s="3" t="s">
        <v>102</v>
      </c>
      <c r="C4" s="3" t="s">
        <v>103</v>
      </c>
      <c r="D4" s="3" t="s">
        <v>104</v>
      </c>
      <c r="E4" s="3" t="s">
        <v>105</v>
      </c>
      <c r="F4" s="3" t="s">
        <v>106</v>
      </c>
      <c r="G4" s="3" t="s">
        <v>11</v>
      </c>
      <c r="H4" s="3" t="s">
        <v>107</v>
      </c>
      <c r="I4" s="3" t="s">
        <v>108</v>
      </c>
      <c r="J4" s="3" t="s">
        <v>61</v>
      </c>
    </row>
    <row r="5" ht="30" customHeight="1" spans="1:10">
      <c r="A5" s="4" t="s">
        <v>72</v>
      </c>
      <c r="B5" s="4" t="s">
        <v>73</v>
      </c>
      <c r="C5" s="4" t="s">
        <v>109</v>
      </c>
      <c r="D5" s="4" t="s">
        <v>11</v>
      </c>
      <c r="E5" s="4" t="s">
        <v>110</v>
      </c>
      <c r="F5" s="4" t="s">
        <v>111</v>
      </c>
      <c r="G5" s="8" t="s">
        <v>112</v>
      </c>
      <c r="H5" s="8" t="s">
        <v>113</v>
      </c>
      <c r="I5" s="4" t="s">
        <v>114</v>
      </c>
      <c r="J5" s="4" t="s">
        <v>115</v>
      </c>
    </row>
    <row r="6" ht="30" customHeight="1" spans="1:10">
      <c r="A6" s="5" t="s">
        <v>72</v>
      </c>
      <c r="B6" s="5" t="s">
        <v>73</v>
      </c>
      <c r="C6" s="5" t="s">
        <v>116</v>
      </c>
      <c r="D6" s="5" t="s">
        <v>117</v>
      </c>
      <c r="E6" s="5" t="s">
        <v>118</v>
      </c>
      <c r="F6" s="5" t="s">
        <v>119</v>
      </c>
      <c r="G6" s="9" t="s">
        <v>113</v>
      </c>
      <c r="H6" s="9" t="s">
        <v>113</v>
      </c>
      <c r="I6" s="5" t="s">
        <v>111</v>
      </c>
      <c r="J6" s="5" t="s">
        <v>120</v>
      </c>
    </row>
    <row r="7" ht="30" customHeight="1" spans="1:10">
      <c r="A7" s="5" t="s">
        <v>72</v>
      </c>
      <c r="B7" s="5" t="s">
        <v>73</v>
      </c>
      <c r="C7" s="5" t="s">
        <v>121</v>
      </c>
      <c r="D7" s="5" t="s">
        <v>13</v>
      </c>
      <c r="E7" s="5" t="s">
        <v>118</v>
      </c>
      <c r="F7" s="5" t="s">
        <v>119</v>
      </c>
      <c r="G7" s="9" t="s">
        <v>113</v>
      </c>
      <c r="H7" s="9" t="s">
        <v>113</v>
      </c>
      <c r="I7" s="5" t="s">
        <v>111</v>
      </c>
      <c r="J7" s="5" t="s">
        <v>122</v>
      </c>
    </row>
    <row r="8" ht="30" customHeight="1" spans="1:10">
      <c r="A8" s="5" t="s">
        <v>72</v>
      </c>
      <c r="B8" s="5" t="s">
        <v>73</v>
      </c>
      <c r="C8" s="5" t="s">
        <v>123</v>
      </c>
      <c r="D8" s="5" t="s">
        <v>124</v>
      </c>
      <c r="E8" s="5" t="s">
        <v>118</v>
      </c>
      <c r="F8" s="5" t="s">
        <v>119</v>
      </c>
      <c r="G8" s="9" t="s">
        <v>113</v>
      </c>
      <c r="H8" s="9" t="s">
        <v>113</v>
      </c>
      <c r="I8" s="5" t="s">
        <v>111</v>
      </c>
      <c r="J8" s="5" t="s">
        <v>125</v>
      </c>
    </row>
    <row r="9" ht="30" customHeight="1" spans="1:10">
      <c r="A9" s="5" t="s">
        <v>27</v>
      </c>
      <c r="B9" s="5" t="s">
        <v>77</v>
      </c>
      <c r="C9" s="5" t="s">
        <v>109</v>
      </c>
      <c r="D9" s="5" t="s">
        <v>11</v>
      </c>
      <c r="E9" s="5" t="s">
        <v>110</v>
      </c>
      <c r="F9" s="5" t="s">
        <v>111</v>
      </c>
      <c r="G9" s="9" t="s">
        <v>112</v>
      </c>
      <c r="H9" s="9" t="s">
        <v>113</v>
      </c>
      <c r="I9" s="5" t="s">
        <v>114</v>
      </c>
      <c r="J9" s="5" t="s">
        <v>126</v>
      </c>
    </row>
    <row r="10" ht="30" customHeight="1" spans="1:10">
      <c r="A10" s="5" t="s">
        <v>27</v>
      </c>
      <c r="B10" s="5" t="s">
        <v>77</v>
      </c>
      <c r="C10" s="5" t="s">
        <v>116</v>
      </c>
      <c r="D10" s="5" t="s">
        <v>127</v>
      </c>
      <c r="E10" s="5" t="s">
        <v>118</v>
      </c>
      <c r="F10" s="5" t="s">
        <v>119</v>
      </c>
      <c r="G10" s="9" t="s">
        <v>113</v>
      </c>
      <c r="H10" s="9" t="s">
        <v>113</v>
      </c>
      <c r="I10" s="5" t="s">
        <v>111</v>
      </c>
      <c r="J10" s="5" t="s">
        <v>128</v>
      </c>
    </row>
    <row r="11" ht="30" customHeight="1" spans="1:10">
      <c r="A11" s="5" t="s">
        <v>27</v>
      </c>
      <c r="B11" s="5" t="s">
        <v>77</v>
      </c>
      <c r="C11" s="5" t="s">
        <v>121</v>
      </c>
      <c r="D11" s="5" t="s">
        <v>129</v>
      </c>
      <c r="E11" s="5" t="s">
        <v>118</v>
      </c>
      <c r="F11" s="5" t="s">
        <v>119</v>
      </c>
      <c r="G11" s="9" t="s">
        <v>113</v>
      </c>
      <c r="H11" s="9" t="s">
        <v>113</v>
      </c>
      <c r="I11" s="5" t="s">
        <v>130</v>
      </c>
      <c r="J11" s="5" t="s">
        <v>131</v>
      </c>
    </row>
    <row r="12" ht="30" customHeight="1" spans="1:10">
      <c r="A12" s="5" t="s">
        <v>27</v>
      </c>
      <c r="B12" s="5" t="s">
        <v>77</v>
      </c>
      <c r="C12" s="5" t="s">
        <v>132</v>
      </c>
      <c r="D12" s="5" t="s">
        <v>133</v>
      </c>
      <c r="E12" s="5" t="s">
        <v>118</v>
      </c>
      <c r="F12" s="5" t="s">
        <v>134</v>
      </c>
      <c r="G12" s="9" t="s">
        <v>113</v>
      </c>
      <c r="H12" s="9" t="s">
        <v>113</v>
      </c>
      <c r="I12" s="5" t="s">
        <v>111</v>
      </c>
      <c r="J12" s="5" t="s">
        <v>135</v>
      </c>
    </row>
    <row r="13" ht="30" customHeight="1" spans="1:10">
      <c r="A13" s="5" t="s">
        <v>27</v>
      </c>
      <c r="B13" s="5" t="s">
        <v>77</v>
      </c>
      <c r="C13" s="5" t="s">
        <v>136</v>
      </c>
      <c r="D13" s="5" t="s">
        <v>137</v>
      </c>
      <c r="E13" s="5" t="s">
        <v>118</v>
      </c>
      <c r="F13" s="5" t="s">
        <v>119</v>
      </c>
      <c r="G13" s="9" t="s">
        <v>113</v>
      </c>
      <c r="H13" s="9" t="s">
        <v>113</v>
      </c>
      <c r="I13" s="5" t="s">
        <v>111</v>
      </c>
      <c r="J13" s="5" t="s">
        <v>138</v>
      </c>
    </row>
    <row r="14" ht="30" customHeight="1" spans="1:10">
      <c r="A14" s="5" t="s">
        <v>27</v>
      </c>
      <c r="B14" s="5" t="s">
        <v>77</v>
      </c>
      <c r="C14" s="5" t="s">
        <v>139</v>
      </c>
      <c r="D14" s="5" t="s">
        <v>140</v>
      </c>
      <c r="E14" s="5" t="s">
        <v>118</v>
      </c>
      <c r="F14" s="5" t="s">
        <v>141</v>
      </c>
      <c r="G14" s="9" t="s">
        <v>113</v>
      </c>
      <c r="H14" s="9" t="s">
        <v>113</v>
      </c>
      <c r="I14" s="5" t="s">
        <v>111</v>
      </c>
      <c r="J14" s="5" t="s">
        <v>142</v>
      </c>
    </row>
    <row r="15" ht="30" customHeight="1" spans="1:10">
      <c r="A15" s="5" t="s">
        <v>27</v>
      </c>
      <c r="B15" s="5" t="s">
        <v>77</v>
      </c>
      <c r="C15" s="5" t="s">
        <v>143</v>
      </c>
      <c r="D15" s="5" t="s">
        <v>144</v>
      </c>
      <c r="E15" s="5" t="s">
        <v>145</v>
      </c>
      <c r="F15" s="5" t="s">
        <v>146</v>
      </c>
      <c r="G15" s="9" t="s">
        <v>113</v>
      </c>
      <c r="H15" s="9" t="s">
        <v>113</v>
      </c>
      <c r="I15" s="5" t="s">
        <v>147</v>
      </c>
      <c r="J15" s="5" t="s">
        <v>148</v>
      </c>
    </row>
    <row r="16" ht="30" customHeight="1" spans="1:10">
      <c r="A16" s="5" t="s">
        <v>27</v>
      </c>
      <c r="B16" s="5" t="s">
        <v>77</v>
      </c>
      <c r="C16" s="5" t="s">
        <v>149</v>
      </c>
      <c r="D16" s="5" t="s">
        <v>150</v>
      </c>
      <c r="E16" s="5" t="s">
        <v>118</v>
      </c>
      <c r="F16" s="5" t="s">
        <v>141</v>
      </c>
      <c r="G16" s="9" t="s">
        <v>113</v>
      </c>
      <c r="H16" s="9" t="s">
        <v>113</v>
      </c>
      <c r="I16" s="5" t="s">
        <v>151</v>
      </c>
      <c r="J16" s="5" t="s">
        <v>152</v>
      </c>
    </row>
    <row r="17" ht="30" customHeight="1" spans="1:10">
      <c r="A17" s="5" t="s">
        <v>27</v>
      </c>
      <c r="B17" s="5" t="s">
        <v>77</v>
      </c>
      <c r="C17" s="5" t="s">
        <v>153</v>
      </c>
      <c r="D17" s="5" t="s">
        <v>154</v>
      </c>
      <c r="E17" s="5" t="s">
        <v>118</v>
      </c>
      <c r="F17" s="5" t="s">
        <v>141</v>
      </c>
      <c r="G17" s="9" t="s">
        <v>113</v>
      </c>
      <c r="H17" s="9" t="s">
        <v>113</v>
      </c>
      <c r="I17" s="5" t="s">
        <v>155</v>
      </c>
      <c r="J17" s="5" t="s">
        <v>156</v>
      </c>
    </row>
    <row r="18" ht="30" customHeight="1" spans="1:10">
      <c r="A18" s="5" t="s">
        <v>27</v>
      </c>
      <c r="B18" s="5" t="s">
        <v>77</v>
      </c>
      <c r="C18" s="5" t="s">
        <v>157</v>
      </c>
      <c r="D18" s="5" t="s">
        <v>158</v>
      </c>
      <c r="E18" s="5" t="s">
        <v>118</v>
      </c>
      <c r="F18" s="5" t="s">
        <v>141</v>
      </c>
      <c r="G18" s="9" t="s">
        <v>113</v>
      </c>
      <c r="H18" s="9" t="s">
        <v>113</v>
      </c>
      <c r="I18" s="5" t="s">
        <v>159</v>
      </c>
      <c r="J18" s="5" t="s">
        <v>160</v>
      </c>
    </row>
    <row r="19" ht="30" customHeight="1" spans="1:10">
      <c r="A19" s="5" t="s">
        <v>27</v>
      </c>
      <c r="B19" s="5" t="s">
        <v>77</v>
      </c>
      <c r="C19" s="5" t="s">
        <v>161</v>
      </c>
      <c r="D19" s="5" t="s">
        <v>162</v>
      </c>
      <c r="E19" s="5" t="s">
        <v>163</v>
      </c>
      <c r="F19" s="5" t="s">
        <v>111</v>
      </c>
      <c r="G19" s="9" t="s">
        <v>113</v>
      </c>
      <c r="H19" s="9" t="s">
        <v>113</v>
      </c>
      <c r="I19" s="5" t="s">
        <v>111</v>
      </c>
      <c r="J19" s="5" t="s">
        <v>164</v>
      </c>
    </row>
    <row r="20" ht="30" customHeight="1" spans="1:10">
      <c r="A20" s="5" t="s">
        <v>36</v>
      </c>
      <c r="B20" s="5" t="s">
        <v>80</v>
      </c>
      <c r="C20" s="5" t="s">
        <v>109</v>
      </c>
      <c r="D20" s="5" t="s">
        <v>11</v>
      </c>
      <c r="E20" s="5" t="s">
        <v>110</v>
      </c>
      <c r="F20" s="5" t="s">
        <v>111</v>
      </c>
      <c r="G20" s="9" t="s">
        <v>112</v>
      </c>
      <c r="H20" s="9" t="s">
        <v>113</v>
      </c>
      <c r="I20" s="5" t="s">
        <v>114</v>
      </c>
      <c r="J20" s="5" t="s">
        <v>165</v>
      </c>
    </row>
    <row r="21" ht="30" customHeight="1" spans="1:10">
      <c r="A21" s="5" t="s">
        <v>36</v>
      </c>
      <c r="B21" s="5" t="s">
        <v>80</v>
      </c>
      <c r="C21" s="5" t="s">
        <v>166</v>
      </c>
      <c r="D21" s="5" t="s">
        <v>167</v>
      </c>
      <c r="E21" s="5" t="s">
        <v>118</v>
      </c>
      <c r="F21" s="5" t="s">
        <v>134</v>
      </c>
      <c r="G21" s="9" t="s">
        <v>113</v>
      </c>
      <c r="H21" s="9" t="s">
        <v>113</v>
      </c>
      <c r="I21" s="5" t="s">
        <v>111</v>
      </c>
      <c r="J21" s="5" t="s">
        <v>168</v>
      </c>
    </row>
    <row r="22" ht="30" customHeight="1" spans="1:10">
      <c r="A22" s="5" t="s">
        <v>36</v>
      </c>
      <c r="B22" s="5" t="s">
        <v>80</v>
      </c>
      <c r="C22" s="5" t="s">
        <v>169</v>
      </c>
      <c r="D22" s="5" t="s">
        <v>170</v>
      </c>
      <c r="E22" s="5" t="s">
        <v>118</v>
      </c>
      <c r="F22" s="5" t="s">
        <v>119</v>
      </c>
      <c r="G22" s="9" t="s">
        <v>113</v>
      </c>
      <c r="H22" s="9" t="s">
        <v>113</v>
      </c>
      <c r="I22" s="5" t="s">
        <v>111</v>
      </c>
      <c r="J22" s="5" t="s">
        <v>171</v>
      </c>
    </row>
    <row r="23" ht="30" customHeight="1" spans="1:10">
      <c r="A23" s="5" t="s">
        <v>36</v>
      </c>
      <c r="B23" s="5" t="s">
        <v>80</v>
      </c>
      <c r="C23" s="5" t="s">
        <v>172</v>
      </c>
      <c r="D23" s="5" t="s">
        <v>173</v>
      </c>
      <c r="E23" s="5" t="s">
        <v>145</v>
      </c>
      <c r="F23" s="5" t="s">
        <v>146</v>
      </c>
      <c r="G23" s="9" t="s">
        <v>113</v>
      </c>
      <c r="H23" s="9" t="s">
        <v>113</v>
      </c>
      <c r="I23" s="5" t="s">
        <v>111</v>
      </c>
      <c r="J23" s="5" t="s">
        <v>174</v>
      </c>
    </row>
    <row r="24" ht="30" customHeight="1" spans="1:10">
      <c r="A24" s="5" t="s">
        <v>36</v>
      </c>
      <c r="B24" s="5" t="s">
        <v>80</v>
      </c>
      <c r="C24" s="5" t="s">
        <v>157</v>
      </c>
      <c r="D24" s="5" t="s">
        <v>175</v>
      </c>
      <c r="E24" s="5" t="s">
        <v>118</v>
      </c>
      <c r="F24" s="5" t="s">
        <v>141</v>
      </c>
      <c r="G24" s="9" t="s">
        <v>113</v>
      </c>
      <c r="H24" s="9" t="s">
        <v>113</v>
      </c>
      <c r="I24" s="5" t="s">
        <v>176</v>
      </c>
      <c r="J24" s="5" t="s">
        <v>177</v>
      </c>
    </row>
    <row r="25" ht="30" customHeight="1" spans="1:10">
      <c r="A25" s="5" t="s">
        <v>36</v>
      </c>
      <c r="B25" s="5" t="s">
        <v>80</v>
      </c>
      <c r="C25" s="5" t="s">
        <v>178</v>
      </c>
      <c r="D25" s="5" t="s">
        <v>71</v>
      </c>
      <c r="E25" s="5" t="s">
        <v>118</v>
      </c>
      <c r="F25" s="5" t="s">
        <v>179</v>
      </c>
      <c r="G25" s="9" t="s">
        <v>113</v>
      </c>
      <c r="H25" s="9" t="s">
        <v>112</v>
      </c>
      <c r="I25" s="5" t="s">
        <v>180</v>
      </c>
      <c r="J25" s="5" t="s">
        <v>181</v>
      </c>
    </row>
    <row r="26" ht="30" customHeight="1" spans="1:10">
      <c r="A26" s="5" t="s">
        <v>30</v>
      </c>
      <c r="B26" s="5" t="s">
        <v>83</v>
      </c>
      <c r="C26" s="5" t="s">
        <v>109</v>
      </c>
      <c r="D26" s="5" t="s">
        <v>11</v>
      </c>
      <c r="E26" s="5" t="s">
        <v>110</v>
      </c>
      <c r="F26" s="5" t="s">
        <v>111</v>
      </c>
      <c r="G26" s="9" t="s">
        <v>112</v>
      </c>
      <c r="H26" s="9" t="s">
        <v>113</v>
      </c>
      <c r="I26" s="5" t="s">
        <v>114</v>
      </c>
      <c r="J26" s="5" t="s">
        <v>182</v>
      </c>
    </row>
    <row r="27" ht="30" customHeight="1" spans="1:10">
      <c r="A27" s="5" t="s">
        <v>30</v>
      </c>
      <c r="B27" s="5" t="s">
        <v>83</v>
      </c>
      <c r="C27" s="5" t="s">
        <v>183</v>
      </c>
      <c r="D27" s="5" t="s">
        <v>184</v>
      </c>
      <c r="E27" s="5" t="s">
        <v>110</v>
      </c>
      <c r="F27" s="5" t="s">
        <v>111</v>
      </c>
      <c r="G27" s="9" t="s">
        <v>113</v>
      </c>
      <c r="H27" s="9" t="s">
        <v>113</v>
      </c>
      <c r="I27" s="5" t="s">
        <v>111</v>
      </c>
      <c r="J27" s="5" t="s">
        <v>185</v>
      </c>
    </row>
    <row r="28" ht="30" customHeight="1" spans="1:10">
      <c r="A28" s="5" t="s">
        <v>30</v>
      </c>
      <c r="B28" s="5" t="s">
        <v>83</v>
      </c>
      <c r="C28" s="5" t="s">
        <v>186</v>
      </c>
      <c r="D28" s="5" t="s">
        <v>187</v>
      </c>
      <c r="E28" s="5" t="s">
        <v>118</v>
      </c>
      <c r="F28" s="5" t="s">
        <v>119</v>
      </c>
      <c r="G28" s="9" t="s">
        <v>113</v>
      </c>
      <c r="H28" s="9" t="s">
        <v>113</v>
      </c>
      <c r="I28" s="5" t="s">
        <v>111</v>
      </c>
      <c r="J28" s="5" t="s">
        <v>188</v>
      </c>
    </row>
    <row r="29" ht="30" customHeight="1" spans="1:10">
      <c r="A29" s="5" t="s">
        <v>30</v>
      </c>
      <c r="B29" s="5" t="s">
        <v>83</v>
      </c>
      <c r="C29" s="5" t="s">
        <v>189</v>
      </c>
      <c r="D29" s="5" t="s">
        <v>190</v>
      </c>
      <c r="E29" s="5" t="s">
        <v>145</v>
      </c>
      <c r="F29" s="5" t="s">
        <v>146</v>
      </c>
      <c r="G29" s="9" t="s">
        <v>113</v>
      </c>
      <c r="H29" s="9" t="s">
        <v>113</v>
      </c>
      <c r="I29" s="5" t="s">
        <v>111</v>
      </c>
      <c r="J29" s="5" t="s">
        <v>191</v>
      </c>
    </row>
    <row r="30" ht="30" customHeight="1" spans="1:10">
      <c r="A30" s="5" t="s">
        <v>30</v>
      </c>
      <c r="B30" s="5" t="s">
        <v>83</v>
      </c>
      <c r="C30" s="5" t="s">
        <v>161</v>
      </c>
      <c r="D30" s="5" t="s">
        <v>192</v>
      </c>
      <c r="E30" s="5" t="s">
        <v>163</v>
      </c>
      <c r="F30" s="5" t="s">
        <v>111</v>
      </c>
      <c r="G30" s="9" t="s">
        <v>113</v>
      </c>
      <c r="H30" s="9" t="s">
        <v>113</v>
      </c>
      <c r="I30" s="5" t="s">
        <v>111</v>
      </c>
      <c r="J30" s="5" t="s">
        <v>193</v>
      </c>
    </row>
    <row r="31" ht="30" customHeight="1" spans="1:10">
      <c r="A31" s="5" t="s">
        <v>34</v>
      </c>
      <c r="B31" s="5" t="s">
        <v>88</v>
      </c>
      <c r="C31" s="5" t="s">
        <v>109</v>
      </c>
      <c r="D31" s="5" t="s">
        <v>11</v>
      </c>
      <c r="E31" s="5" t="s">
        <v>110</v>
      </c>
      <c r="F31" s="5" t="s">
        <v>111</v>
      </c>
      <c r="G31" s="9" t="s">
        <v>112</v>
      </c>
      <c r="H31" s="9" t="s">
        <v>113</v>
      </c>
      <c r="I31" s="5" t="s">
        <v>114</v>
      </c>
      <c r="J31" s="5" t="s">
        <v>194</v>
      </c>
    </row>
    <row r="32" ht="30" customHeight="1" spans="1:10">
      <c r="A32" s="5" t="s">
        <v>34</v>
      </c>
      <c r="B32" s="5" t="s">
        <v>88</v>
      </c>
      <c r="C32" s="5" t="s">
        <v>183</v>
      </c>
      <c r="D32" s="5" t="s">
        <v>184</v>
      </c>
      <c r="E32" s="5" t="s">
        <v>110</v>
      </c>
      <c r="F32" s="5" t="s">
        <v>111</v>
      </c>
      <c r="G32" s="9" t="s">
        <v>113</v>
      </c>
      <c r="H32" s="9" t="s">
        <v>113</v>
      </c>
      <c r="I32" s="5" t="s">
        <v>111</v>
      </c>
      <c r="J32" s="5" t="s">
        <v>185</v>
      </c>
    </row>
    <row r="33" ht="30" customHeight="1" spans="1:10">
      <c r="A33" s="5" t="s">
        <v>34</v>
      </c>
      <c r="B33" s="5" t="s">
        <v>88</v>
      </c>
      <c r="C33" s="5" t="s">
        <v>186</v>
      </c>
      <c r="D33" s="5" t="s">
        <v>187</v>
      </c>
      <c r="E33" s="5" t="s">
        <v>118</v>
      </c>
      <c r="F33" s="5" t="s">
        <v>119</v>
      </c>
      <c r="G33" s="9" t="s">
        <v>113</v>
      </c>
      <c r="H33" s="9" t="s">
        <v>113</v>
      </c>
      <c r="I33" s="5" t="s">
        <v>111</v>
      </c>
      <c r="J33" s="5" t="s">
        <v>195</v>
      </c>
    </row>
    <row r="34" ht="30" customHeight="1" spans="1:10">
      <c r="A34" s="5" t="s">
        <v>34</v>
      </c>
      <c r="B34" s="5" t="s">
        <v>88</v>
      </c>
      <c r="C34" s="5" t="s">
        <v>196</v>
      </c>
      <c r="D34" s="5" t="s">
        <v>197</v>
      </c>
      <c r="E34" s="5" t="s">
        <v>110</v>
      </c>
      <c r="F34" s="5" t="s">
        <v>111</v>
      </c>
      <c r="G34" s="9" t="s">
        <v>113</v>
      </c>
      <c r="H34" s="9" t="s">
        <v>113</v>
      </c>
      <c r="I34" s="5" t="s">
        <v>111</v>
      </c>
      <c r="J34" s="5" t="s">
        <v>198</v>
      </c>
    </row>
    <row r="35" ht="30" customHeight="1" spans="1:10">
      <c r="A35" s="5" t="s">
        <v>34</v>
      </c>
      <c r="B35" s="5" t="s">
        <v>88</v>
      </c>
      <c r="C35" s="5" t="s">
        <v>166</v>
      </c>
      <c r="D35" s="5" t="s">
        <v>199</v>
      </c>
      <c r="E35" s="5" t="s">
        <v>118</v>
      </c>
      <c r="F35" s="5" t="s">
        <v>134</v>
      </c>
      <c r="G35" s="9" t="s">
        <v>113</v>
      </c>
      <c r="H35" s="9" t="s">
        <v>113</v>
      </c>
      <c r="I35" s="5" t="s">
        <v>111</v>
      </c>
      <c r="J35" s="5" t="s">
        <v>200</v>
      </c>
    </row>
    <row r="36" ht="30" customHeight="1" spans="1:10">
      <c r="A36" s="5" t="s">
        <v>34</v>
      </c>
      <c r="B36" s="5" t="s">
        <v>88</v>
      </c>
      <c r="C36" s="5" t="s">
        <v>201</v>
      </c>
      <c r="D36" s="5" t="s">
        <v>202</v>
      </c>
      <c r="E36" s="5" t="s">
        <v>163</v>
      </c>
      <c r="F36" s="5" t="s">
        <v>111</v>
      </c>
      <c r="G36" s="9" t="s">
        <v>113</v>
      </c>
      <c r="H36" s="9" t="s">
        <v>113</v>
      </c>
      <c r="I36" s="5" t="s">
        <v>111</v>
      </c>
      <c r="J36" s="5" t="s">
        <v>203</v>
      </c>
    </row>
    <row r="37" ht="30" customHeight="1" spans="1:10">
      <c r="A37" s="5" t="s">
        <v>34</v>
      </c>
      <c r="B37" s="5" t="s">
        <v>88</v>
      </c>
      <c r="C37" s="5" t="s">
        <v>204</v>
      </c>
      <c r="D37" s="5" t="s">
        <v>205</v>
      </c>
      <c r="E37" s="5" t="s">
        <v>163</v>
      </c>
      <c r="F37" s="5" t="s">
        <v>111</v>
      </c>
      <c r="G37" s="9" t="s">
        <v>113</v>
      </c>
      <c r="H37" s="9" t="s">
        <v>112</v>
      </c>
      <c r="I37" s="5" t="s">
        <v>180</v>
      </c>
      <c r="J37" s="5" t="s">
        <v>206</v>
      </c>
    </row>
    <row r="38" ht="30" customHeight="1" spans="1:10">
      <c r="A38" s="5" t="s">
        <v>34</v>
      </c>
      <c r="B38" s="5" t="s">
        <v>88</v>
      </c>
      <c r="C38" s="5" t="s">
        <v>207</v>
      </c>
      <c r="D38" s="5" t="s">
        <v>208</v>
      </c>
      <c r="E38" s="5" t="s">
        <v>145</v>
      </c>
      <c r="F38" s="5" t="s">
        <v>146</v>
      </c>
      <c r="G38" s="9" t="s">
        <v>113</v>
      </c>
      <c r="H38" s="9" t="s">
        <v>113</v>
      </c>
      <c r="I38" s="5" t="s">
        <v>147</v>
      </c>
      <c r="J38" s="5" t="s">
        <v>209</v>
      </c>
    </row>
    <row r="39" ht="30" customHeight="1" spans="1:10">
      <c r="A39" s="5" t="s">
        <v>34</v>
      </c>
      <c r="B39" s="5" t="s">
        <v>88</v>
      </c>
      <c r="C39" s="5" t="s">
        <v>157</v>
      </c>
      <c r="D39" s="5" t="s">
        <v>210</v>
      </c>
      <c r="E39" s="5" t="s">
        <v>118</v>
      </c>
      <c r="F39" s="5" t="s">
        <v>141</v>
      </c>
      <c r="G39" s="9" t="s">
        <v>113</v>
      </c>
      <c r="H39" s="9" t="s">
        <v>113</v>
      </c>
      <c r="I39" s="5" t="s">
        <v>111</v>
      </c>
      <c r="J39" s="5" t="s">
        <v>211</v>
      </c>
    </row>
    <row r="40" ht="30" customHeight="1" spans="1:10">
      <c r="A40" s="5" t="s">
        <v>41</v>
      </c>
      <c r="B40" s="5" t="s">
        <v>91</v>
      </c>
      <c r="C40" s="5" t="s">
        <v>109</v>
      </c>
      <c r="D40" s="5" t="s">
        <v>11</v>
      </c>
      <c r="E40" s="5" t="s">
        <v>110</v>
      </c>
      <c r="F40" s="5" t="s">
        <v>111</v>
      </c>
      <c r="G40" s="9" t="s">
        <v>112</v>
      </c>
      <c r="H40" s="9" t="s">
        <v>113</v>
      </c>
      <c r="I40" s="5" t="s">
        <v>114</v>
      </c>
      <c r="J40" s="5" t="s">
        <v>212</v>
      </c>
    </row>
    <row r="41" ht="30" customHeight="1" spans="1:10">
      <c r="A41" s="5" t="s">
        <v>41</v>
      </c>
      <c r="B41" s="5" t="s">
        <v>91</v>
      </c>
      <c r="C41" s="5" t="s">
        <v>183</v>
      </c>
      <c r="D41" s="5" t="s">
        <v>184</v>
      </c>
      <c r="E41" s="5" t="s">
        <v>110</v>
      </c>
      <c r="F41" s="5" t="s">
        <v>111</v>
      </c>
      <c r="G41" s="9" t="s">
        <v>113</v>
      </c>
      <c r="H41" s="9" t="s">
        <v>113</v>
      </c>
      <c r="I41" s="5" t="s">
        <v>111</v>
      </c>
      <c r="J41" s="5" t="s">
        <v>185</v>
      </c>
    </row>
    <row r="42" ht="30" customHeight="1" spans="1:10">
      <c r="A42" s="5" t="s">
        <v>41</v>
      </c>
      <c r="B42" s="5" t="s">
        <v>91</v>
      </c>
      <c r="C42" s="5" t="s">
        <v>186</v>
      </c>
      <c r="D42" s="5" t="s">
        <v>187</v>
      </c>
      <c r="E42" s="5" t="s">
        <v>118</v>
      </c>
      <c r="F42" s="5" t="s">
        <v>119</v>
      </c>
      <c r="G42" s="9" t="s">
        <v>113</v>
      </c>
      <c r="H42" s="9" t="s">
        <v>113</v>
      </c>
      <c r="I42" s="5" t="s">
        <v>111</v>
      </c>
      <c r="J42" s="5" t="s">
        <v>213</v>
      </c>
    </row>
    <row r="43" ht="30" customHeight="1" spans="1:10">
      <c r="A43" s="5" t="s">
        <v>41</v>
      </c>
      <c r="B43" s="5" t="s">
        <v>91</v>
      </c>
      <c r="C43" s="5" t="s">
        <v>196</v>
      </c>
      <c r="D43" s="5" t="s">
        <v>197</v>
      </c>
      <c r="E43" s="5" t="s">
        <v>110</v>
      </c>
      <c r="F43" s="5" t="s">
        <v>111</v>
      </c>
      <c r="G43" s="9" t="s">
        <v>113</v>
      </c>
      <c r="H43" s="9" t="s">
        <v>113</v>
      </c>
      <c r="I43" s="5" t="s">
        <v>111</v>
      </c>
      <c r="J43" s="5" t="s">
        <v>198</v>
      </c>
    </row>
    <row r="44" ht="30" customHeight="1" spans="1:10">
      <c r="A44" s="5" t="s">
        <v>41</v>
      </c>
      <c r="B44" s="5" t="s">
        <v>91</v>
      </c>
      <c r="C44" s="5" t="s">
        <v>166</v>
      </c>
      <c r="D44" s="5" t="s">
        <v>199</v>
      </c>
      <c r="E44" s="5" t="s">
        <v>118</v>
      </c>
      <c r="F44" s="5" t="s">
        <v>134</v>
      </c>
      <c r="G44" s="9" t="s">
        <v>113</v>
      </c>
      <c r="H44" s="9" t="s">
        <v>113</v>
      </c>
      <c r="I44" s="5" t="s">
        <v>111</v>
      </c>
      <c r="J44" s="5" t="s">
        <v>213</v>
      </c>
    </row>
    <row r="45" ht="30" customHeight="1" spans="1:10">
      <c r="A45" s="5" t="s">
        <v>41</v>
      </c>
      <c r="B45" s="5" t="s">
        <v>91</v>
      </c>
      <c r="C45" s="5" t="s">
        <v>214</v>
      </c>
      <c r="D45" s="5" t="s">
        <v>215</v>
      </c>
      <c r="E45" s="5" t="s">
        <v>163</v>
      </c>
      <c r="F45" s="5" t="s">
        <v>111</v>
      </c>
      <c r="G45" s="9" t="s">
        <v>113</v>
      </c>
      <c r="H45" s="9" t="s">
        <v>113</v>
      </c>
      <c r="I45" s="5" t="s">
        <v>111</v>
      </c>
      <c r="J45" s="5" t="s">
        <v>216</v>
      </c>
    </row>
    <row r="46" ht="30" customHeight="1" spans="1:10">
      <c r="A46" s="5" t="s">
        <v>41</v>
      </c>
      <c r="B46" s="5" t="s">
        <v>91</v>
      </c>
      <c r="C46" s="5" t="s">
        <v>157</v>
      </c>
      <c r="D46" s="5" t="s">
        <v>217</v>
      </c>
      <c r="E46" s="5" t="s">
        <v>118</v>
      </c>
      <c r="F46" s="5" t="s">
        <v>141</v>
      </c>
      <c r="G46" s="9" t="s">
        <v>113</v>
      </c>
      <c r="H46" s="9" t="s">
        <v>113</v>
      </c>
      <c r="I46" s="5" t="s">
        <v>218</v>
      </c>
      <c r="J46" s="5" t="s">
        <v>219</v>
      </c>
    </row>
    <row r="47" ht="30" customHeight="1" spans="1:10">
      <c r="A47" s="5" t="s">
        <v>41</v>
      </c>
      <c r="B47" s="5" t="s">
        <v>91</v>
      </c>
      <c r="C47" s="5" t="s">
        <v>161</v>
      </c>
      <c r="D47" s="5" t="s">
        <v>220</v>
      </c>
      <c r="E47" s="5" t="s">
        <v>163</v>
      </c>
      <c r="F47" s="5" t="s">
        <v>111</v>
      </c>
      <c r="G47" s="9" t="s">
        <v>113</v>
      </c>
      <c r="H47" s="9" t="s">
        <v>113</v>
      </c>
      <c r="I47" s="5" t="s">
        <v>111</v>
      </c>
      <c r="J47" s="5" t="s">
        <v>221</v>
      </c>
    </row>
    <row r="48" ht="30" customHeight="1" spans="1:10">
      <c r="A48" s="5" t="s">
        <v>44</v>
      </c>
      <c r="B48" s="5" t="s">
        <v>94</v>
      </c>
      <c r="C48" s="5" t="s">
        <v>109</v>
      </c>
      <c r="D48" s="5" t="s">
        <v>11</v>
      </c>
      <c r="E48" s="5" t="s">
        <v>110</v>
      </c>
      <c r="F48" s="5" t="s">
        <v>111</v>
      </c>
      <c r="G48" s="9" t="s">
        <v>112</v>
      </c>
      <c r="H48" s="9" t="s">
        <v>113</v>
      </c>
      <c r="I48" s="5" t="s">
        <v>114</v>
      </c>
      <c r="J48" s="5" t="s">
        <v>222</v>
      </c>
    </row>
    <row r="49" ht="30" customHeight="1" spans="1:10">
      <c r="A49" s="5" t="s">
        <v>44</v>
      </c>
      <c r="B49" s="5" t="s">
        <v>94</v>
      </c>
      <c r="C49" s="5" t="s">
        <v>136</v>
      </c>
      <c r="D49" s="5" t="s">
        <v>223</v>
      </c>
      <c r="E49" s="5" t="s">
        <v>118</v>
      </c>
      <c r="F49" s="5" t="s">
        <v>119</v>
      </c>
      <c r="G49" s="9" t="s">
        <v>113</v>
      </c>
      <c r="H49" s="9" t="s">
        <v>113</v>
      </c>
      <c r="I49" s="5" t="s">
        <v>111</v>
      </c>
      <c r="J49" s="5" t="s">
        <v>224</v>
      </c>
    </row>
    <row r="50" ht="30" customHeight="1" spans="1:10">
      <c r="A50" s="5" t="s">
        <v>44</v>
      </c>
      <c r="B50" s="5" t="s">
        <v>94</v>
      </c>
      <c r="C50" s="5" t="s">
        <v>225</v>
      </c>
      <c r="D50" s="5" t="s">
        <v>226</v>
      </c>
      <c r="E50" s="5" t="s">
        <v>118</v>
      </c>
      <c r="F50" s="5" t="s">
        <v>134</v>
      </c>
      <c r="G50" s="9" t="s">
        <v>113</v>
      </c>
      <c r="H50" s="9" t="s">
        <v>113</v>
      </c>
      <c r="I50" s="5" t="s">
        <v>227</v>
      </c>
      <c r="J50" s="5" t="s">
        <v>228</v>
      </c>
    </row>
    <row r="51" ht="30" customHeight="1" spans="1:10">
      <c r="A51" s="5" t="s">
        <v>44</v>
      </c>
      <c r="B51" s="5" t="s">
        <v>94</v>
      </c>
      <c r="C51" s="5" t="s">
        <v>229</v>
      </c>
      <c r="D51" s="5" t="s">
        <v>230</v>
      </c>
      <c r="E51" s="5" t="s">
        <v>145</v>
      </c>
      <c r="F51" s="5" t="s">
        <v>146</v>
      </c>
      <c r="G51" s="9" t="s">
        <v>113</v>
      </c>
      <c r="H51" s="9" t="s">
        <v>113</v>
      </c>
      <c r="I51" s="5" t="s">
        <v>111</v>
      </c>
      <c r="J51" s="5" t="s">
        <v>231</v>
      </c>
    </row>
    <row r="52" ht="30" customHeight="1" spans="1:10">
      <c r="A52" s="5" t="s">
        <v>44</v>
      </c>
      <c r="B52" s="5" t="s">
        <v>94</v>
      </c>
      <c r="C52" s="5" t="s">
        <v>157</v>
      </c>
      <c r="D52" s="5" t="s">
        <v>232</v>
      </c>
      <c r="E52" s="5" t="s">
        <v>118</v>
      </c>
      <c r="F52" s="5" t="s">
        <v>141</v>
      </c>
      <c r="G52" s="9" t="s">
        <v>113</v>
      </c>
      <c r="H52" s="9" t="s">
        <v>113</v>
      </c>
      <c r="I52" s="5" t="s">
        <v>233</v>
      </c>
      <c r="J52" s="5" t="s">
        <v>234</v>
      </c>
    </row>
    <row r="53" ht="30" customHeight="1" spans="1:10">
      <c r="A53" s="5" t="s">
        <v>44</v>
      </c>
      <c r="B53" s="5" t="s">
        <v>94</v>
      </c>
      <c r="C53" s="5" t="s">
        <v>178</v>
      </c>
      <c r="D53" s="5" t="s">
        <v>235</v>
      </c>
      <c r="E53" s="5" t="s">
        <v>118</v>
      </c>
      <c r="F53" s="5" t="s">
        <v>179</v>
      </c>
      <c r="G53" s="9" t="s">
        <v>113</v>
      </c>
      <c r="H53" s="9" t="s">
        <v>112</v>
      </c>
      <c r="I53" s="5" t="s">
        <v>180</v>
      </c>
      <c r="J53" s="5" t="s">
        <v>236</v>
      </c>
    </row>
    <row r="54" ht="30" customHeight="1" spans="1:10">
      <c r="A54" s="5" t="s">
        <v>46</v>
      </c>
      <c r="B54" s="5" t="s">
        <v>97</v>
      </c>
      <c r="C54" s="5" t="s">
        <v>109</v>
      </c>
      <c r="D54" s="5" t="s">
        <v>11</v>
      </c>
      <c r="E54" s="5" t="s">
        <v>110</v>
      </c>
      <c r="F54" s="5" t="s">
        <v>111</v>
      </c>
      <c r="G54" s="9" t="s">
        <v>112</v>
      </c>
      <c r="H54" s="9" t="s">
        <v>113</v>
      </c>
      <c r="I54" s="5" t="s">
        <v>114</v>
      </c>
      <c r="J54" s="5" t="s">
        <v>237</v>
      </c>
    </row>
    <row r="55" ht="30" customHeight="1" spans="1:10">
      <c r="A55" s="5" t="s">
        <v>46</v>
      </c>
      <c r="B55" s="5" t="s">
        <v>97</v>
      </c>
      <c r="C55" s="5" t="s">
        <v>183</v>
      </c>
      <c r="D55" s="5" t="s">
        <v>184</v>
      </c>
      <c r="E55" s="5" t="s">
        <v>110</v>
      </c>
      <c r="F55" s="5" t="s">
        <v>111</v>
      </c>
      <c r="G55" s="9" t="s">
        <v>113</v>
      </c>
      <c r="H55" s="9" t="s">
        <v>112</v>
      </c>
      <c r="I55" s="5" t="s">
        <v>180</v>
      </c>
      <c r="J55" s="5" t="s">
        <v>238</v>
      </c>
    </row>
    <row r="56" ht="30" customHeight="1" spans="1:10">
      <c r="A56" s="5" t="s">
        <v>46</v>
      </c>
      <c r="B56" s="5" t="s">
        <v>97</v>
      </c>
      <c r="C56" s="5" t="s">
        <v>186</v>
      </c>
      <c r="D56" s="5" t="s">
        <v>239</v>
      </c>
      <c r="E56" s="5" t="s">
        <v>118</v>
      </c>
      <c r="F56" s="5" t="s">
        <v>119</v>
      </c>
      <c r="G56" s="9" t="s">
        <v>113</v>
      </c>
      <c r="H56" s="9" t="s">
        <v>112</v>
      </c>
      <c r="I56" s="5" t="s">
        <v>180</v>
      </c>
      <c r="J56" s="5" t="s">
        <v>240</v>
      </c>
    </row>
    <row r="57" ht="30" customHeight="1" spans="1:10">
      <c r="A57" s="5" t="s">
        <v>46</v>
      </c>
      <c r="B57" s="5" t="s">
        <v>97</v>
      </c>
      <c r="C57" s="5" t="s">
        <v>241</v>
      </c>
      <c r="D57" s="5" t="s">
        <v>242</v>
      </c>
      <c r="E57" s="5" t="s">
        <v>118</v>
      </c>
      <c r="F57" s="5" t="s">
        <v>141</v>
      </c>
      <c r="G57" s="9" t="s">
        <v>113</v>
      </c>
      <c r="H57" s="9" t="s">
        <v>113</v>
      </c>
      <c r="I57" s="5" t="s">
        <v>111</v>
      </c>
      <c r="J57" s="5" t="s">
        <v>152</v>
      </c>
    </row>
    <row r="58" ht="30" customHeight="1" spans="1:10">
      <c r="A58" s="5" t="s">
        <v>46</v>
      </c>
      <c r="B58" s="5" t="s">
        <v>97</v>
      </c>
      <c r="C58" s="5" t="s">
        <v>243</v>
      </c>
      <c r="D58" s="5" t="s">
        <v>244</v>
      </c>
      <c r="E58" s="5" t="s">
        <v>118</v>
      </c>
      <c r="F58" s="5" t="s">
        <v>119</v>
      </c>
      <c r="G58" s="9" t="s">
        <v>113</v>
      </c>
      <c r="H58" s="9" t="s">
        <v>113</v>
      </c>
      <c r="I58" s="5" t="s">
        <v>111</v>
      </c>
      <c r="J58" s="5" t="s">
        <v>245</v>
      </c>
    </row>
    <row r="59" ht="30" customHeight="1" spans="1:10">
      <c r="A59" s="5" t="s">
        <v>46</v>
      </c>
      <c r="B59" s="5" t="s">
        <v>97</v>
      </c>
      <c r="C59" s="5" t="s">
        <v>246</v>
      </c>
      <c r="D59" s="5" t="s">
        <v>222</v>
      </c>
      <c r="E59" s="5" t="s">
        <v>110</v>
      </c>
      <c r="F59" s="5" t="s">
        <v>111</v>
      </c>
      <c r="G59" s="9" t="s">
        <v>113</v>
      </c>
      <c r="H59" s="9" t="s">
        <v>113</v>
      </c>
      <c r="I59" s="5" t="s">
        <v>111</v>
      </c>
      <c r="J59" s="5" t="s">
        <v>247</v>
      </c>
    </row>
    <row r="60" ht="30" customHeight="1" spans="1:10">
      <c r="A60" s="5" t="s">
        <v>46</v>
      </c>
      <c r="B60" s="5" t="s">
        <v>97</v>
      </c>
      <c r="C60" s="5" t="s">
        <v>248</v>
      </c>
      <c r="D60" s="5" t="s">
        <v>249</v>
      </c>
      <c r="E60" s="5" t="s">
        <v>118</v>
      </c>
      <c r="F60" s="5" t="s">
        <v>119</v>
      </c>
      <c r="G60" s="9" t="s">
        <v>113</v>
      </c>
      <c r="H60" s="9" t="s">
        <v>113</v>
      </c>
      <c r="I60" s="5" t="s">
        <v>111</v>
      </c>
      <c r="J60" s="5" t="s">
        <v>250</v>
      </c>
    </row>
    <row r="61" ht="30" customHeight="1" spans="1:10">
      <c r="A61" s="5" t="s">
        <v>46</v>
      </c>
      <c r="B61" s="5" t="s">
        <v>97</v>
      </c>
      <c r="C61" s="5" t="s">
        <v>229</v>
      </c>
      <c r="D61" s="5" t="s">
        <v>251</v>
      </c>
      <c r="E61" s="5" t="s">
        <v>145</v>
      </c>
      <c r="F61" s="5" t="s">
        <v>146</v>
      </c>
      <c r="G61" s="9" t="s">
        <v>113</v>
      </c>
      <c r="H61" s="9" t="s">
        <v>113</v>
      </c>
      <c r="I61" s="5" t="s">
        <v>111</v>
      </c>
      <c r="J61" s="5" t="s">
        <v>252</v>
      </c>
    </row>
    <row r="62" ht="30" customHeight="1" spans="1:10">
      <c r="A62" s="5" t="s">
        <v>46</v>
      </c>
      <c r="B62" s="5" t="s">
        <v>97</v>
      </c>
      <c r="C62" s="5" t="s">
        <v>253</v>
      </c>
      <c r="D62" s="5" t="s">
        <v>254</v>
      </c>
      <c r="E62" s="5" t="s">
        <v>255</v>
      </c>
      <c r="F62" s="5" t="s">
        <v>111</v>
      </c>
      <c r="G62" s="9" t="s">
        <v>113</v>
      </c>
      <c r="H62" s="9" t="s">
        <v>113</v>
      </c>
      <c r="I62" s="5" t="s">
        <v>111</v>
      </c>
      <c r="J62" s="5" t="s">
        <v>191</v>
      </c>
    </row>
    <row r="63" ht="30" customHeight="1" spans="1:10">
      <c r="A63" s="5" t="s">
        <v>46</v>
      </c>
      <c r="B63" s="5" t="s">
        <v>97</v>
      </c>
      <c r="C63" s="5" t="s">
        <v>207</v>
      </c>
      <c r="D63" s="5" t="s">
        <v>256</v>
      </c>
      <c r="E63" s="5" t="s">
        <v>145</v>
      </c>
      <c r="F63" s="5" t="s">
        <v>146</v>
      </c>
      <c r="G63" s="9" t="s">
        <v>113</v>
      </c>
      <c r="H63" s="9" t="s">
        <v>113</v>
      </c>
      <c r="I63" s="5" t="s">
        <v>111</v>
      </c>
      <c r="J63" s="5" t="s">
        <v>257</v>
      </c>
    </row>
    <row r="64" ht="30" customHeight="1" spans="1:10">
      <c r="A64" s="5" t="s">
        <v>46</v>
      </c>
      <c r="B64" s="5" t="s">
        <v>97</v>
      </c>
      <c r="C64" s="5" t="s">
        <v>157</v>
      </c>
      <c r="D64" s="5" t="s">
        <v>258</v>
      </c>
      <c r="E64" s="5" t="s">
        <v>118</v>
      </c>
      <c r="F64" s="5" t="s">
        <v>141</v>
      </c>
      <c r="G64" s="9" t="s">
        <v>113</v>
      </c>
      <c r="H64" s="9" t="s">
        <v>113</v>
      </c>
      <c r="I64" s="5" t="s">
        <v>259</v>
      </c>
      <c r="J64" s="5" t="s">
        <v>260</v>
      </c>
    </row>
    <row r="65" ht="30" customHeight="1" spans="1:10">
      <c r="A65" s="5" t="s">
        <v>46</v>
      </c>
      <c r="B65" s="5" t="s">
        <v>97</v>
      </c>
      <c r="C65" s="5" t="s">
        <v>161</v>
      </c>
      <c r="D65" s="5" t="s">
        <v>261</v>
      </c>
      <c r="E65" s="5" t="s">
        <v>163</v>
      </c>
      <c r="F65" s="5" t="s">
        <v>111</v>
      </c>
      <c r="G65" s="9" t="s">
        <v>113</v>
      </c>
      <c r="H65" s="9" t="s">
        <v>113</v>
      </c>
      <c r="I65" s="5" t="s">
        <v>111</v>
      </c>
      <c r="J65" s="5" t="s">
        <v>262</v>
      </c>
    </row>
  </sheetData>
  <mergeCells count="2">
    <mergeCell ref="A1:J1"/>
    <mergeCell ref="A2:J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9"/>
  <sheetViews>
    <sheetView showGridLines="0" topLeftCell="A10" workbookViewId="0">
      <selection activeCell="A1" sqref="A1:G1"/>
    </sheetView>
  </sheetViews>
  <sheetFormatPr defaultColWidth="9" defaultRowHeight="16.8" outlineLevelCol="6"/>
  <cols>
    <col min="1" max="1" width="13" customWidth="1"/>
    <col min="2" max="2" width="26" customWidth="1"/>
    <col min="3" max="3" width="30" customWidth="1"/>
    <col min="4" max="4" width="12" customWidth="1"/>
    <col min="5" max="5" width="18" customWidth="1"/>
    <col min="6" max="6" width="30" customWidth="1"/>
    <col min="7" max="7" width="38" customWidth="1"/>
  </cols>
  <sheetData>
    <row r="1" ht="36" customHeight="1" spans="1:7">
      <c r="A1" s="1" t="s">
        <v>263</v>
      </c>
      <c r="B1" s="1"/>
      <c r="C1" s="1"/>
      <c r="D1" s="1"/>
      <c r="E1" s="1"/>
      <c r="F1" s="1"/>
      <c r="G1" s="1"/>
    </row>
    <row r="2" ht="25" customHeight="1" spans="1:7">
      <c r="A2" s="2" t="s">
        <v>264</v>
      </c>
      <c r="B2" s="2"/>
      <c r="C2" s="2"/>
      <c r="D2" s="2"/>
      <c r="E2" s="2"/>
      <c r="F2" s="2"/>
      <c r="G2" s="2"/>
    </row>
    <row r="4" ht="30" customHeight="1" spans="1:7">
      <c r="A4" s="3" t="s">
        <v>265</v>
      </c>
      <c r="B4" s="3" t="s">
        <v>266</v>
      </c>
      <c r="C4" s="3" t="s">
        <v>267</v>
      </c>
      <c r="D4" s="3" t="s">
        <v>268</v>
      </c>
      <c r="E4" s="3" t="s">
        <v>269</v>
      </c>
      <c r="F4" s="3" t="s">
        <v>270</v>
      </c>
      <c r="G4" s="3" t="s">
        <v>271</v>
      </c>
    </row>
    <row r="5" ht="34" customHeight="1" spans="1:7">
      <c r="A5" s="4" t="s">
        <v>272</v>
      </c>
      <c r="B5" s="4" t="s">
        <v>273</v>
      </c>
      <c r="C5" s="4" t="s">
        <v>274</v>
      </c>
      <c r="D5" s="4" t="s">
        <v>32</v>
      </c>
      <c r="E5" s="4" t="s">
        <v>33</v>
      </c>
      <c r="F5" s="4" t="s">
        <v>275</v>
      </c>
      <c r="G5" s="4" t="s">
        <v>276</v>
      </c>
    </row>
    <row r="6" ht="34" customHeight="1" spans="1:7">
      <c r="A6" s="5" t="s">
        <v>277</v>
      </c>
      <c r="B6" s="5" t="s">
        <v>273</v>
      </c>
      <c r="C6" s="5" t="s">
        <v>278</v>
      </c>
      <c r="D6" s="5" t="s">
        <v>32</v>
      </c>
      <c r="E6" s="5" t="s">
        <v>33</v>
      </c>
      <c r="F6" s="5" t="s">
        <v>279</v>
      </c>
      <c r="G6" s="5" t="s">
        <v>280</v>
      </c>
    </row>
    <row r="7" ht="34" customHeight="1" spans="1:7">
      <c r="A7" s="5" t="s">
        <v>281</v>
      </c>
      <c r="B7" s="5" t="s">
        <v>282</v>
      </c>
      <c r="C7" s="5" t="s">
        <v>283</v>
      </c>
      <c r="D7" s="5" t="s">
        <v>32</v>
      </c>
      <c r="E7" s="5" t="s">
        <v>33</v>
      </c>
      <c r="F7" s="5" t="s">
        <v>284</v>
      </c>
      <c r="G7" s="5" t="s">
        <v>285</v>
      </c>
    </row>
    <row r="8" ht="34" customHeight="1" spans="1:7">
      <c r="A8" s="5" t="s">
        <v>286</v>
      </c>
      <c r="B8" s="5" t="s">
        <v>273</v>
      </c>
      <c r="C8" s="5" t="s">
        <v>287</v>
      </c>
      <c r="D8" s="5" t="s">
        <v>32</v>
      </c>
      <c r="E8" s="5" t="s">
        <v>33</v>
      </c>
      <c r="F8" s="5" t="s">
        <v>288</v>
      </c>
      <c r="G8" s="5" t="s">
        <v>289</v>
      </c>
    </row>
    <row r="9" ht="34" customHeight="1" spans="1:7">
      <c r="A9" s="5" t="s">
        <v>290</v>
      </c>
      <c r="B9" s="5" t="s">
        <v>282</v>
      </c>
      <c r="C9" s="5" t="s">
        <v>291</v>
      </c>
      <c r="D9" s="5" t="s">
        <v>32</v>
      </c>
      <c r="E9" s="5" t="s">
        <v>33</v>
      </c>
      <c r="F9" s="5" t="s">
        <v>292</v>
      </c>
      <c r="G9" s="5" t="s">
        <v>293</v>
      </c>
    </row>
    <row r="10" ht="34" customHeight="1" spans="1:7">
      <c r="A10" s="5" t="s">
        <v>294</v>
      </c>
      <c r="B10" s="5" t="s">
        <v>273</v>
      </c>
      <c r="C10" s="5" t="s">
        <v>295</v>
      </c>
      <c r="D10" s="5" t="s">
        <v>32</v>
      </c>
      <c r="E10" s="5" t="s">
        <v>296</v>
      </c>
      <c r="F10" s="5" t="s">
        <v>297</v>
      </c>
      <c r="G10" s="5" t="s">
        <v>298</v>
      </c>
    </row>
    <row r="11" ht="34" customHeight="1" spans="1:7">
      <c r="A11" s="5" t="s">
        <v>299</v>
      </c>
      <c r="B11" s="5" t="s">
        <v>300</v>
      </c>
      <c r="C11" s="5" t="s">
        <v>301</v>
      </c>
      <c r="D11" s="5" t="s">
        <v>32</v>
      </c>
      <c r="E11" s="5" t="s">
        <v>33</v>
      </c>
      <c r="F11" s="5" t="s">
        <v>302</v>
      </c>
      <c r="G11" s="5" t="s">
        <v>303</v>
      </c>
    </row>
    <row r="12" ht="34" customHeight="1"/>
    <row r="13" ht="34" customHeight="1"/>
    <row r="14" ht="34" customHeight="1" spans="1:7">
      <c r="A14" s="7" t="s">
        <v>304</v>
      </c>
      <c r="B14" s="7"/>
      <c r="C14" s="7"/>
      <c r="D14" s="7"/>
      <c r="E14" s="7"/>
      <c r="F14" s="7"/>
      <c r="G14" s="7"/>
    </row>
    <row r="15" ht="34" customHeight="1" spans="1:7">
      <c r="A15" s="4" t="s">
        <v>27</v>
      </c>
      <c r="B15" s="4" t="s">
        <v>305</v>
      </c>
      <c r="C15" s="4" t="s">
        <v>30</v>
      </c>
      <c r="D15" s="4" t="s">
        <v>52</v>
      </c>
      <c r="E15" s="4" t="s">
        <v>306</v>
      </c>
      <c r="F15" s="4" t="s">
        <v>52</v>
      </c>
      <c r="G15" s="4" t="s">
        <v>52</v>
      </c>
    </row>
    <row r="16" ht="34" customHeight="1" spans="1:7">
      <c r="A16" s="5" t="s">
        <v>27</v>
      </c>
      <c r="B16" s="5" t="s">
        <v>305</v>
      </c>
      <c r="C16" s="5" t="s">
        <v>34</v>
      </c>
      <c r="D16" s="5" t="s">
        <v>307</v>
      </c>
      <c r="E16" s="5" t="s">
        <v>36</v>
      </c>
      <c r="F16" s="5" t="s">
        <v>308</v>
      </c>
      <c r="G16" s="5" t="s">
        <v>52</v>
      </c>
    </row>
    <row r="17" ht="34" customHeight="1" spans="1:7">
      <c r="A17" s="5" t="s">
        <v>27</v>
      </c>
      <c r="B17" s="5" t="s">
        <v>305</v>
      </c>
      <c r="C17" s="5" t="s">
        <v>41</v>
      </c>
      <c r="D17" s="5" t="s">
        <v>307</v>
      </c>
      <c r="E17" s="5" t="s">
        <v>36</v>
      </c>
      <c r="F17" s="5" t="s">
        <v>309</v>
      </c>
      <c r="G17" s="5" t="s">
        <v>52</v>
      </c>
    </row>
    <row r="18" ht="34" customHeight="1" spans="1:7">
      <c r="A18" s="5" t="s">
        <v>27</v>
      </c>
      <c r="B18" s="5" t="s">
        <v>305</v>
      </c>
      <c r="C18" s="5" t="s">
        <v>46</v>
      </c>
      <c r="D18" s="5" t="s">
        <v>307</v>
      </c>
      <c r="E18" s="5" t="s">
        <v>44</v>
      </c>
      <c r="F18" s="5" t="s">
        <v>310</v>
      </c>
      <c r="G18" s="5" t="s">
        <v>52</v>
      </c>
    </row>
    <row r="19" ht="34" customHeight="1" spans="1:7">
      <c r="A19" s="5" t="s">
        <v>72</v>
      </c>
      <c r="B19" s="5" t="s">
        <v>311</v>
      </c>
      <c r="C19" s="5" t="s">
        <v>312</v>
      </c>
      <c r="D19" s="5" t="s">
        <v>52</v>
      </c>
      <c r="E19" s="5" t="s">
        <v>52</v>
      </c>
      <c r="F19" s="5" t="s">
        <v>52</v>
      </c>
      <c r="G19" s="5" t="s">
        <v>52</v>
      </c>
    </row>
  </sheetData>
  <mergeCells count="3">
    <mergeCell ref="A1:G1"/>
    <mergeCell ref="A2:G2"/>
    <mergeCell ref="A14:G14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5"/>
  <sheetViews>
    <sheetView showGridLines="0" workbookViewId="0">
      <selection activeCell="A1" sqref="A1:E1"/>
    </sheetView>
  </sheetViews>
  <sheetFormatPr defaultColWidth="9" defaultRowHeight="16.8" outlineLevelCol="4"/>
  <cols>
    <col min="1" max="1" width="24" customWidth="1"/>
    <col min="2" max="3" width="20" customWidth="1"/>
    <col min="4" max="4" width="40" customWidth="1"/>
    <col min="5" max="5" width="16" customWidth="1"/>
  </cols>
  <sheetData>
    <row r="1" ht="36" customHeight="1" spans="1:5">
      <c r="A1" s="1" t="s">
        <v>313</v>
      </c>
      <c r="B1" s="1"/>
      <c r="C1" s="1"/>
      <c r="D1" s="1"/>
      <c r="E1" s="1"/>
    </row>
    <row r="2" ht="25" customHeight="1" spans="1:5">
      <c r="A2" s="2" t="s">
        <v>314</v>
      </c>
      <c r="B2" s="2"/>
      <c r="C2" s="2"/>
      <c r="D2" s="2"/>
      <c r="E2" s="2"/>
    </row>
    <row r="4" ht="30" customHeight="1" spans="1:5">
      <c r="A4" s="3" t="s">
        <v>315</v>
      </c>
      <c r="B4" s="3" t="s">
        <v>316</v>
      </c>
      <c r="C4" s="3" t="s">
        <v>317</v>
      </c>
      <c r="D4" s="3" t="s">
        <v>270</v>
      </c>
      <c r="E4" s="3" t="s">
        <v>318</v>
      </c>
    </row>
    <row r="5" ht="30" customHeight="1" spans="1:5">
      <c r="A5" s="4" t="s">
        <v>27</v>
      </c>
      <c r="B5" s="4" t="s">
        <v>157</v>
      </c>
      <c r="C5" s="4" t="s">
        <v>159</v>
      </c>
      <c r="D5" s="4" t="s">
        <v>319</v>
      </c>
      <c r="E5" s="4" t="s">
        <v>320</v>
      </c>
    </row>
    <row r="6" ht="30" customHeight="1" spans="1:5">
      <c r="A6" s="5" t="s">
        <v>27</v>
      </c>
      <c r="B6" s="5" t="s">
        <v>157</v>
      </c>
      <c r="C6" s="5" t="s">
        <v>321</v>
      </c>
      <c r="D6" s="5" t="s">
        <v>322</v>
      </c>
      <c r="E6" s="5" t="s">
        <v>323</v>
      </c>
    </row>
    <row r="7" ht="30" customHeight="1" spans="1:5">
      <c r="A7" s="5" t="s">
        <v>27</v>
      </c>
      <c r="B7" s="5" t="s">
        <v>149</v>
      </c>
      <c r="C7" s="5" t="s">
        <v>151</v>
      </c>
      <c r="D7" s="5" t="s">
        <v>324</v>
      </c>
      <c r="E7" s="5" t="s">
        <v>325</v>
      </c>
    </row>
    <row r="8" ht="30" customHeight="1" spans="1:5">
      <c r="A8" s="5" t="s">
        <v>27</v>
      </c>
      <c r="B8" s="5" t="s">
        <v>149</v>
      </c>
      <c r="C8" s="5" t="s">
        <v>326</v>
      </c>
      <c r="D8" s="5" t="s">
        <v>327</v>
      </c>
      <c r="E8" s="5" t="s">
        <v>328</v>
      </c>
    </row>
    <row r="9" ht="30" customHeight="1" spans="1:5">
      <c r="A9" s="5" t="s">
        <v>27</v>
      </c>
      <c r="B9" s="5" t="s">
        <v>153</v>
      </c>
      <c r="C9" s="5" t="s">
        <v>155</v>
      </c>
      <c r="D9" s="5" t="s">
        <v>329</v>
      </c>
      <c r="E9" s="5" t="s">
        <v>330</v>
      </c>
    </row>
    <row r="10" ht="30" customHeight="1" spans="1:5">
      <c r="A10" s="5" t="s">
        <v>27</v>
      </c>
      <c r="B10" s="5" t="s">
        <v>153</v>
      </c>
      <c r="C10" s="5" t="s">
        <v>331</v>
      </c>
      <c r="D10" s="5" t="s">
        <v>332</v>
      </c>
      <c r="E10" s="5" t="s">
        <v>328</v>
      </c>
    </row>
    <row r="11" ht="30" customHeight="1" spans="1:5">
      <c r="A11" s="5" t="s">
        <v>27</v>
      </c>
      <c r="B11" s="5" t="s">
        <v>153</v>
      </c>
      <c r="C11" s="5" t="s">
        <v>333</v>
      </c>
      <c r="D11" s="5" t="s">
        <v>334</v>
      </c>
      <c r="E11" s="5" t="s">
        <v>325</v>
      </c>
    </row>
    <row r="12" ht="30" customHeight="1" spans="1:5">
      <c r="A12" s="5" t="s">
        <v>36</v>
      </c>
      <c r="B12" s="5" t="s">
        <v>157</v>
      </c>
      <c r="C12" s="5" t="s">
        <v>176</v>
      </c>
      <c r="D12" s="5" t="s">
        <v>335</v>
      </c>
      <c r="E12" s="5" t="s">
        <v>320</v>
      </c>
    </row>
    <row r="13" ht="30" customHeight="1" spans="1:5">
      <c r="A13" s="5" t="s">
        <v>36</v>
      </c>
      <c r="B13" s="5" t="s">
        <v>157</v>
      </c>
      <c r="C13" s="5" t="s">
        <v>336</v>
      </c>
      <c r="D13" s="5" t="s">
        <v>337</v>
      </c>
      <c r="E13" s="5" t="s">
        <v>325</v>
      </c>
    </row>
    <row r="14" ht="30" customHeight="1" spans="1:5">
      <c r="A14" s="5" t="s">
        <v>36</v>
      </c>
      <c r="B14" s="5" t="s">
        <v>157</v>
      </c>
      <c r="C14" s="5" t="s">
        <v>309</v>
      </c>
      <c r="D14" s="5" t="s">
        <v>338</v>
      </c>
      <c r="E14" s="5" t="s">
        <v>339</v>
      </c>
    </row>
    <row r="15" ht="30" customHeight="1" spans="1:5">
      <c r="A15" s="5" t="s">
        <v>36</v>
      </c>
      <c r="B15" s="5" t="s">
        <v>157</v>
      </c>
      <c r="C15" s="5" t="s">
        <v>340</v>
      </c>
      <c r="D15" s="5" t="s">
        <v>341</v>
      </c>
      <c r="E15" s="5" t="s">
        <v>328</v>
      </c>
    </row>
    <row r="16" ht="30" customHeight="1" spans="1:5">
      <c r="A16" s="5" t="s">
        <v>34</v>
      </c>
      <c r="B16" s="5" t="s">
        <v>157</v>
      </c>
      <c r="C16" s="5" t="s">
        <v>342</v>
      </c>
      <c r="D16" s="5" t="s">
        <v>343</v>
      </c>
      <c r="E16" s="5" t="s">
        <v>325</v>
      </c>
    </row>
    <row r="17" ht="30" customHeight="1" spans="1:5">
      <c r="A17" s="5" t="s">
        <v>34</v>
      </c>
      <c r="B17" s="5" t="s">
        <v>157</v>
      </c>
      <c r="C17" s="5" t="s">
        <v>344</v>
      </c>
      <c r="D17" s="5" t="s">
        <v>345</v>
      </c>
      <c r="E17" s="5" t="s">
        <v>320</v>
      </c>
    </row>
    <row r="18" ht="30" customHeight="1" spans="1:5">
      <c r="A18" s="5" t="s">
        <v>41</v>
      </c>
      <c r="B18" s="5" t="s">
        <v>157</v>
      </c>
      <c r="C18" s="5" t="s">
        <v>218</v>
      </c>
      <c r="D18" s="5" t="s">
        <v>346</v>
      </c>
      <c r="E18" s="5" t="s">
        <v>339</v>
      </c>
    </row>
    <row r="19" ht="30" customHeight="1" spans="1:5">
      <c r="A19" s="5" t="s">
        <v>41</v>
      </c>
      <c r="B19" s="5" t="s">
        <v>157</v>
      </c>
      <c r="C19" s="5" t="s">
        <v>347</v>
      </c>
      <c r="D19" s="5" t="s">
        <v>348</v>
      </c>
      <c r="E19" s="5" t="s">
        <v>320</v>
      </c>
    </row>
    <row r="20" ht="30" customHeight="1" spans="1:5">
      <c r="A20" s="5" t="s">
        <v>41</v>
      </c>
      <c r="B20" s="5" t="s">
        <v>157</v>
      </c>
      <c r="C20" s="5" t="s">
        <v>349</v>
      </c>
      <c r="D20" s="5" t="s">
        <v>350</v>
      </c>
      <c r="E20" s="5" t="s">
        <v>330</v>
      </c>
    </row>
    <row r="21" ht="30" customHeight="1" spans="1:5">
      <c r="A21" s="5" t="s">
        <v>44</v>
      </c>
      <c r="B21" s="5" t="s">
        <v>157</v>
      </c>
      <c r="C21" s="5" t="s">
        <v>233</v>
      </c>
      <c r="D21" s="5" t="s">
        <v>351</v>
      </c>
      <c r="E21" s="5" t="s">
        <v>320</v>
      </c>
    </row>
    <row r="22" ht="30" customHeight="1" spans="1:5">
      <c r="A22" s="5" t="s">
        <v>44</v>
      </c>
      <c r="B22" s="5" t="s">
        <v>157</v>
      </c>
      <c r="C22" s="5" t="s">
        <v>352</v>
      </c>
      <c r="D22" s="5" t="s">
        <v>353</v>
      </c>
      <c r="E22" s="5" t="s">
        <v>330</v>
      </c>
    </row>
    <row r="23" ht="30" customHeight="1" spans="1:5">
      <c r="A23" s="5" t="s">
        <v>46</v>
      </c>
      <c r="B23" s="5" t="s">
        <v>157</v>
      </c>
      <c r="C23" s="5" t="s">
        <v>259</v>
      </c>
      <c r="D23" s="5" t="s">
        <v>354</v>
      </c>
      <c r="E23" s="5" t="s">
        <v>328</v>
      </c>
    </row>
    <row r="24" ht="30" customHeight="1" spans="1:5">
      <c r="A24" s="5" t="s">
        <v>46</v>
      </c>
      <c r="B24" s="5" t="s">
        <v>157</v>
      </c>
      <c r="C24" s="5" t="s">
        <v>344</v>
      </c>
      <c r="D24" s="5" t="s">
        <v>355</v>
      </c>
      <c r="E24" s="5" t="s">
        <v>320</v>
      </c>
    </row>
    <row r="25" ht="30" customHeight="1" spans="1:5">
      <c r="A25" s="5" t="s">
        <v>46</v>
      </c>
      <c r="B25" s="5" t="s">
        <v>157</v>
      </c>
      <c r="C25" s="5" t="s">
        <v>349</v>
      </c>
      <c r="D25" s="5" t="s">
        <v>356</v>
      </c>
      <c r="E25" s="5" t="s">
        <v>330</v>
      </c>
    </row>
  </sheetData>
  <mergeCells count="2">
    <mergeCell ref="A1:E1"/>
    <mergeCell ref="A2:E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3"/>
  <sheetViews>
    <sheetView showGridLines="0" tabSelected="1" zoomScale="87" zoomScaleNormal="87" workbookViewId="0">
      <selection activeCell="A1" sqref="A1:D1"/>
    </sheetView>
  </sheetViews>
  <sheetFormatPr defaultColWidth="9" defaultRowHeight="16.8" outlineLevelCol="3"/>
  <cols>
    <col min="1" max="1" width="14" customWidth="1"/>
    <col min="2" max="2" width="20" customWidth="1"/>
    <col min="3" max="3" width="38" customWidth="1"/>
    <col min="4" max="4" width="52" customWidth="1"/>
  </cols>
  <sheetData>
    <row r="1" ht="36" customHeight="1" spans="1:4">
      <c r="A1" s="1" t="s">
        <v>357</v>
      </c>
      <c r="B1" s="1"/>
      <c r="C1" s="1"/>
      <c r="D1" s="1"/>
    </row>
    <row r="2" ht="25" customHeight="1" spans="1:4">
      <c r="A2" s="2" t="s">
        <v>358</v>
      </c>
      <c r="B2" s="2"/>
      <c r="C2" s="2"/>
      <c r="D2" s="2"/>
    </row>
    <row r="4" ht="30" customHeight="1" spans="1:4">
      <c r="A4" s="3" t="s">
        <v>359</v>
      </c>
      <c r="B4" s="3" t="s">
        <v>360</v>
      </c>
      <c r="C4" s="3" t="s">
        <v>361</v>
      </c>
      <c r="D4" s="3" t="s">
        <v>362</v>
      </c>
    </row>
    <row r="5" ht="34" customHeight="1" spans="1:4">
      <c r="A5" s="4" t="s">
        <v>363</v>
      </c>
      <c r="B5" s="4" t="s">
        <v>364</v>
      </c>
      <c r="C5" s="4" t="s">
        <v>365</v>
      </c>
      <c r="D5" s="4" t="s">
        <v>366</v>
      </c>
    </row>
    <row r="6" ht="34" customHeight="1" spans="1:4">
      <c r="A6" s="5" t="s">
        <v>367</v>
      </c>
      <c r="B6" s="5" t="s">
        <v>368</v>
      </c>
      <c r="C6" s="5" t="s">
        <v>369</v>
      </c>
      <c r="D6" s="5" t="s">
        <v>370</v>
      </c>
    </row>
    <row r="7" ht="34" customHeight="1" spans="1:4">
      <c r="A7" s="5" t="s">
        <v>371</v>
      </c>
      <c r="B7" s="5" t="s">
        <v>372</v>
      </c>
      <c r="C7" s="5" t="s">
        <v>373</v>
      </c>
      <c r="D7" s="5" t="s">
        <v>374</v>
      </c>
    </row>
    <row r="8" ht="34" customHeight="1" spans="1:4">
      <c r="A8" s="5" t="s">
        <v>375</v>
      </c>
      <c r="B8" s="5" t="s">
        <v>376</v>
      </c>
      <c r="C8" s="5" t="s">
        <v>377</v>
      </c>
      <c r="D8" s="5" t="s">
        <v>378</v>
      </c>
    </row>
    <row r="9" ht="34" customHeight="1" spans="1:4">
      <c r="A9" s="5" t="s">
        <v>379</v>
      </c>
      <c r="B9" s="5" t="s">
        <v>380</v>
      </c>
      <c r="C9" s="5" t="s">
        <v>381</v>
      </c>
      <c r="D9" s="5" t="s">
        <v>382</v>
      </c>
    </row>
    <row r="10" ht="34" customHeight="1" spans="1:4">
      <c r="A10" s="5" t="s">
        <v>383</v>
      </c>
      <c r="B10" s="5" t="s">
        <v>384</v>
      </c>
      <c r="C10" s="5" t="s">
        <v>385</v>
      </c>
      <c r="D10" s="5" t="s">
        <v>386</v>
      </c>
    </row>
    <row r="11" ht="34" customHeight="1" spans="1:4">
      <c r="A11" s="5" t="s">
        <v>387</v>
      </c>
      <c r="B11" s="5" t="s">
        <v>388</v>
      </c>
      <c r="C11" s="5" t="s">
        <v>389</v>
      </c>
      <c r="D11" s="5" t="s">
        <v>390</v>
      </c>
    </row>
    <row r="12" ht="34" customHeight="1" spans="1:4">
      <c r="A12" s="5" t="s">
        <v>391</v>
      </c>
      <c r="B12" s="5" t="s">
        <v>392</v>
      </c>
      <c r="C12" s="5" t="s">
        <v>393</v>
      </c>
      <c r="D12" s="5" t="s">
        <v>394</v>
      </c>
    </row>
    <row r="13" ht="34" customHeight="1" spans="1:4">
      <c r="A13" s="5" t="s">
        <v>395</v>
      </c>
      <c r="B13" s="5" t="s">
        <v>396</v>
      </c>
      <c r="C13" s="5" t="s">
        <v>397</v>
      </c>
      <c r="D13" s="5" t="s">
        <v>398</v>
      </c>
    </row>
    <row r="14" ht="34" customHeight="1" spans="1:4">
      <c r="A14" s="5" t="s">
        <v>399</v>
      </c>
      <c r="B14" s="5" t="s">
        <v>400</v>
      </c>
      <c r="C14" s="5" t="s">
        <v>401</v>
      </c>
      <c r="D14" s="5" t="s">
        <v>402</v>
      </c>
    </row>
    <row r="15" ht="34" customHeight="1" spans="1:4">
      <c r="A15" s="5" t="s">
        <v>403</v>
      </c>
      <c r="B15" s="5" t="s">
        <v>404</v>
      </c>
      <c r="C15" s="5" t="s">
        <v>405</v>
      </c>
      <c r="D15" s="5" t="s">
        <v>406</v>
      </c>
    </row>
    <row r="16" ht="34" customHeight="1" spans="1:4">
      <c r="A16" s="5" t="s">
        <v>407</v>
      </c>
      <c r="B16" s="5" t="s">
        <v>408</v>
      </c>
      <c r="C16" s="5" t="s">
        <v>409</v>
      </c>
      <c r="D16" s="5" t="s">
        <v>410</v>
      </c>
    </row>
    <row r="17" ht="34" customHeight="1"/>
    <row r="18" ht="34" customHeight="1"/>
    <row r="19" ht="34" customHeight="1" spans="1:4">
      <c r="A19" s="6" t="s">
        <v>411</v>
      </c>
      <c r="B19" s="6"/>
      <c r="C19" s="6"/>
      <c r="D19" s="6"/>
    </row>
    <row r="20" ht="34" customHeight="1" spans="1:4">
      <c r="A20" s="4" t="s">
        <v>412</v>
      </c>
      <c r="B20" s="4" t="s">
        <v>413</v>
      </c>
      <c r="C20" s="4" t="s">
        <v>414</v>
      </c>
      <c r="D20" s="4" t="s">
        <v>415</v>
      </c>
    </row>
    <row r="21" ht="34" customHeight="1" spans="1:4">
      <c r="A21" s="5" t="s">
        <v>412</v>
      </c>
      <c r="B21" s="5" t="s">
        <v>416</v>
      </c>
      <c r="C21" s="5" t="s">
        <v>417</v>
      </c>
      <c r="D21" s="5" t="s">
        <v>418</v>
      </c>
    </row>
    <row r="22" ht="34" customHeight="1" spans="1:4">
      <c r="A22" s="5" t="s">
        <v>419</v>
      </c>
      <c r="B22" s="5" t="s">
        <v>420</v>
      </c>
      <c r="C22" s="5" t="s">
        <v>421</v>
      </c>
      <c r="D22" s="5" t="s">
        <v>422</v>
      </c>
    </row>
    <row r="23" ht="34" customHeight="1" spans="1:4">
      <c r="A23" s="5" t="s">
        <v>419</v>
      </c>
      <c r="B23" s="5" t="s">
        <v>423</v>
      </c>
      <c r="C23" s="5" t="s">
        <v>424</v>
      </c>
      <c r="D23" s="5" t="s">
        <v>425</v>
      </c>
    </row>
  </sheetData>
  <mergeCells count="3">
    <mergeCell ref="A1:D1"/>
    <mergeCell ref="A2:D2"/>
    <mergeCell ref="A19:D1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设计总览</vt:lpstr>
      <vt:lpstr>表目录</vt:lpstr>
      <vt:lpstr>数据字典</vt:lpstr>
      <vt:lpstr>表关系</vt:lpstr>
      <vt:lpstr>状态字典</vt:lpstr>
      <vt:lpstr>设计规则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.</cp:lastModifiedBy>
  <dcterms:created xsi:type="dcterms:W3CDTF">2026-07-13T16:18:55Z</dcterms:created>
  <dcterms:modified xsi:type="dcterms:W3CDTF">2026-07-13T16:19:29Z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99F86FACDBA7BF57919F546A124189DB_42</vt:lpwstr>
  </property>
  <property fmtid="{D5CDD505-2E9C-101B-9397-08002B2CF9AE}" pid="3" name="KSOProductBuildVer">
    <vt:lpwstr>2052-12.1.26026.26026</vt:lpwstr>
  </property>
  <property fmtid="{D5CDD505-2E9C-101B-9397-08002B2CF9AE}" pid="4" name="CalculationRule">
    <vt:i4>0</vt:i4>
  </property>
</Properties>
</file>